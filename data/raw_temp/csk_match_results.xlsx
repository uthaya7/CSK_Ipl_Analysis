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Projects\csk_analysis\data\raw_temp\"/>
    </mc:Choice>
  </mc:AlternateContent>
  <xr:revisionPtr revIDLastSave="0" documentId="8_{8AB2A6E6-E999-444B-B29F-721692F4DB8A}" xr6:coauthVersionLast="47" xr6:coauthVersionMax="47" xr10:uidLastSave="{00000000-0000-0000-0000-000000000000}"/>
  <bookViews>
    <workbookView xWindow="-108" yWindow="-108" windowWidth="23256" windowHeight="12456" xr2:uid="{C5BAA909-084E-46A4-A7C2-AF8961663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J2" i="1"/>
  <c r="A3" i="1"/>
  <c r="J3" i="1"/>
  <c r="A4" i="1"/>
  <c r="J4" i="1"/>
  <c r="A5" i="1"/>
  <c r="J5" i="1"/>
  <c r="A6" i="1"/>
  <c r="J6" i="1"/>
  <c r="A7" i="1"/>
  <c r="J7" i="1"/>
  <c r="A8" i="1"/>
  <c r="J8" i="1"/>
  <c r="A9" i="1"/>
  <c r="J9" i="1"/>
  <c r="A10" i="1"/>
  <c r="J10" i="1"/>
  <c r="A11" i="1"/>
  <c r="J11" i="1"/>
  <c r="A12" i="1"/>
  <c r="J12" i="1"/>
  <c r="A13" i="1"/>
  <c r="J13" i="1"/>
  <c r="A14" i="1"/>
  <c r="J14" i="1"/>
  <c r="A15" i="1"/>
  <c r="J15" i="1"/>
  <c r="A16" i="1"/>
  <c r="J16" i="1"/>
  <c r="A17" i="1"/>
  <c r="J17" i="1"/>
  <c r="A18" i="1"/>
  <c r="J18" i="1"/>
  <c r="A19" i="1"/>
  <c r="J19" i="1"/>
  <c r="A20" i="1"/>
  <c r="J20" i="1"/>
  <c r="A21" i="1"/>
  <c r="J21" i="1"/>
  <c r="A22" i="1"/>
  <c r="J22" i="1"/>
  <c r="A23" i="1"/>
  <c r="J23" i="1"/>
  <c r="A24" i="1"/>
  <c r="J24" i="1"/>
  <c r="A25" i="1"/>
  <c r="J25" i="1"/>
  <c r="A26" i="1"/>
  <c r="J26" i="1"/>
  <c r="A27" i="1"/>
  <c r="J27" i="1"/>
  <c r="A28" i="1"/>
  <c r="J28" i="1"/>
  <c r="A29" i="1"/>
  <c r="J29" i="1"/>
  <c r="A30" i="1"/>
  <c r="J30" i="1"/>
  <c r="A31" i="1"/>
  <c r="J31" i="1"/>
  <c r="A32" i="1"/>
  <c r="J32" i="1"/>
  <c r="A33" i="1"/>
  <c r="J33" i="1"/>
  <c r="A34" i="1"/>
  <c r="J34" i="1"/>
  <c r="A35" i="1"/>
  <c r="J35" i="1"/>
  <c r="A36" i="1"/>
  <c r="J36" i="1"/>
  <c r="A37" i="1"/>
  <c r="J37" i="1"/>
  <c r="A38" i="1"/>
  <c r="J38" i="1"/>
  <c r="A39" i="1"/>
  <c r="J39" i="1"/>
  <c r="A40" i="1"/>
  <c r="J40" i="1"/>
  <c r="A41" i="1"/>
  <c r="J41" i="1"/>
  <c r="A42" i="1"/>
  <c r="J42" i="1"/>
  <c r="A43" i="1"/>
  <c r="J43" i="1"/>
  <c r="A44" i="1"/>
  <c r="J44" i="1"/>
  <c r="A45" i="1"/>
  <c r="J45" i="1"/>
  <c r="A46" i="1"/>
  <c r="J46" i="1"/>
  <c r="A47" i="1"/>
  <c r="J47" i="1"/>
  <c r="A48" i="1"/>
  <c r="J48" i="1"/>
  <c r="A49" i="1"/>
  <c r="J49" i="1"/>
  <c r="A50" i="1"/>
  <c r="J50" i="1"/>
  <c r="A51" i="1"/>
  <c r="J51" i="1"/>
  <c r="A52" i="1"/>
  <c r="J52" i="1"/>
  <c r="A53" i="1"/>
  <c r="J53" i="1"/>
  <c r="A54" i="1"/>
  <c r="J54" i="1"/>
  <c r="A55" i="1"/>
  <c r="J55" i="1"/>
  <c r="A56" i="1"/>
  <c r="J56" i="1"/>
  <c r="A57" i="1"/>
  <c r="J57" i="1"/>
  <c r="A58" i="1"/>
  <c r="J58" i="1"/>
  <c r="A59" i="1"/>
  <c r="J59" i="1"/>
  <c r="A60" i="1"/>
  <c r="J60" i="1"/>
  <c r="A61" i="1"/>
  <c r="J61" i="1"/>
  <c r="A62" i="1"/>
  <c r="J62" i="1"/>
  <c r="A63" i="1"/>
  <c r="J63" i="1"/>
  <c r="A64" i="1"/>
  <c r="J64" i="1"/>
  <c r="A65" i="1"/>
  <c r="J65" i="1"/>
  <c r="A66" i="1"/>
  <c r="J66" i="1"/>
  <c r="A67" i="1"/>
  <c r="J67" i="1"/>
  <c r="A68" i="1"/>
  <c r="J68" i="1"/>
  <c r="A69" i="1"/>
  <c r="J69" i="1"/>
  <c r="A70" i="1"/>
  <c r="J70" i="1"/>
  <c r="A71" i="1"/>
  <c r="J71" i="1"/>
  <c r="A72" i="1"/>
  <c r="J72" i="1"/>
  <c r="A73" i="1"/>
  <c r="J73" i="1"/>
  <c r="A74" i="1"/>
  <c r="J74" i="1"/>
  <c r="A75" i="1"/>
  <c r="J75" i="1"/>
  <c r="A76" i="1"/>
  <c r="J76" i="1"/>
  <c r="A77" i="1"/>
  <c r="J77" i="1"/>
  <c r="A78" i="1"/>
  <c r="J78" i="1"/>
  <c r="A79" i="1"/>
  <c r="J79" i="1"/>
  <c r="A80" i="1"/>
  <c r="J80" i="1"/>
  <c r="A81" i="1"/>
  <c r="J81" i="1"/>
  <c r="A82" i="1"/>
  <c r="J82" i="1"/>
  <c r="A83" i="1"/>
  <c r="J83" i="1"/>
  <c r="A84" i="1"/>
  <c r="J84" i="1"/>
  <c r="A85" i="1"/>
  <c r="J85" i="1"/>
  <c r="A86" i="1"/>
  <c r="J86" i="1"/>
  <c r="A87" i="1"/>
  <c r="J87" i="1"/>
  <c r="A88" i="1"/>
  <c r="J88" i="1"/>
  <c r="A89" i="1"/>
  <c r="J89" i="1"/>
  <c r="A90" i="1"/>
  <c r="J90" i="1"/>
  <c r="A91" i="1"/>
  <c r="J91" i="1"/>
  <c r="A92" i="1"/>
  <c r="J92" i="1"/>
  <c r="A93" i="1"/>
  <c r="J93" i="1"/>
  <c r="A94" i="1"/>
  <c r="J94" i="1"/>
  <c r="A95" i="1"/>
  <c r="J95" i="1"/>
  <c r="A96" i="1"/>
  <c r="J96" i="1"/>
  <c r="A97" i="1"/>
  <c r="J97" i="1"/>
  <c r="A98" i="1"/>
  <c r="J98" i="1"/>
  <c r="A99" i="1"/>
  <c r="J99" i="1"/>
  <c r="A100" i="1"/>
  <c r="J100" i="1"/>
  <c r="A101" i="1"/>
  <c r="J101" i="1"/>
  <c r="A102" i="1"/>
  <c r="J102" i="1"/>
  <c r="A103" i="1"/>
  <c r="J103" i="1"/>
  <c r="A104" i="1"/>
  <c r="J104" i="1"/>
  <c r="A105" i="1"/>
  <c r="J105" i="1"/>
  <c r="A106" i="1"/>
  <c r="J106" i="1"/>
  <c r="A107" i="1"/>
  <c r="J107" i="1"/>
  <c r="A108" i="1"/>
  <c r="J108" i="1"/>
  <c r="A109" i="1"/>
  <c r="J109" i="1"/>
  <c r="A110" i="1"/>
  <c r="J110" i="1"/>
  <c r="A111" i="1"/>
  <c r="J111" i="1"/>
  <c r="A112" i="1"/>
  <c r="J112" i="1"/>
  <c r="A113" i="1"/>
  <c r="J113" i="1"/>
  <c r="A114" i="1"/>
  <c r="J114" i="1"/>
  <c r="A115" i="1"/>
  <c r="J115" i="1"/>
  <c r="A116" i="1"/>
  <c r="J116" i="1"/>
  <c r="A117" i="1"/>
  <c r="J117" i="1"/>
  <c r="A118" i="1"/>
  <c r="J118" i="1"/>
  <c r="A119" i="1"/>
  <c r="J119" i="1"/>
  <c r="A120" i="1"/>
  <c r="J120" i="1"/>
  <c r="A121" i="1"/>
  <c r="J121" i="1"/>
  <c r="A122" i="1"/>
  <c r="J122" i="1"/>
  <c r="A123" i="1"/>
  <c r="J123" i="1"/>
  <c r="A124" i="1"/>
  <c r="J124" i="1"/>
  <c r="A125" i="1"/>
  <c r="J125" i="1"/>
  <c r="A126" i="1"/>
  <c r="J126" i="1"/>
  <c r="A127" i="1"/>
  <c r="J127" i="1"/>
  <c r="A128" i="1"/>
  <c r="J128" i="1"/>
  <c r="A129" i="1"/>
  <c r="J129" i="1"/>
  <c r="A130" i="1"/>
  <c r="J130" i="1"/>
  <c r="A131" i="1"/>
  <c r="J131" i="1"/>
  <c r="A132" i="1"/>
  <c r="J132" i="1"/>
  <c r="A133" i="1"/>
  <c r="J133" i="1"/>
  <c r="A134" i="1"/>
  <c r="J134" i="1"/>
  <c r="A135" i="1"/>
  <c r="J135" i="1"/>
  <c r="A136" i="1"/>
  <c r="J136" i="1"/>
  <c r="A137" i="1"/>
  <c r="J137" i="1"/>
  <c r="A138" i="1"/>
  <c r="J138" i="1"/>
  <c r="A139" i="1"/>
  <c r="J139" i="1"/>
  <c r="A140" i="1"/>
  <c r="J140" i="1"/>
  <c r="A141" i="1"/>
  <c r="J141" i="1"/>
  <c r="A142" i="1"/>
  <c r="J142" i="1"/>
  <c r="A143" i="1"/>
  <c r="J143" i="1"/>
  <c r="A144" i="1"/>
  <c r="J144" i="1"/>
  <c r="A145" i="1"/>
  <c r="J145" i="1"/>
  <c r="A146" i="1"/>
  <c r="J146" i="1"/>
  <c r="A147" i="1"/>
  <c r="J147" i="1"/>
  <c r="A148" i="1"/>
  <c r="J148" i="1"/>
  <c r="A149" i="1"/>
  <c r="J149" i="1"/>
  <c r="A150" i="1"/>
  <c r="J150" i="1"/>
  <c r="A151" i="1"/>
  <c r="J151" i="1"/>
  <c r="A152" i="1"/>
  <c r="J152" i="1"/>
  <c r="A153" i="1"/>
  <c r="J153" i="1"/>
  <c r="A154" i="1"/>
  <c r="J154" i="1"/>
  <c r="A155" i="1"/>
  <c r="J155" i="1"/>
  <c r="A156" i="1"/>
  <c r="J156" i="1"/>
  <c r="A157" i="1"/>
  <c r="J157" i="1"/>
  <c r="A158" i="1"/>
  <c r="J158" i="1"/>
  <c r="A159" i="1"/>
  <c r="J159" i="1"/>
  <c r="A160" i="1"/>
  <c r="J160" i="1"/>
  <c r="A161" i="1"/>
  <c r="J161" i="1"/>
  <c r="A162" i="1"/>
  <c r="J162" i="1"/>
  <c r="A163" i="1"/>
  <c r="J163" i="1"/>
  <c r="A164" i="1"/>
  <c r="J164" i="1"/>
  <c r="A165" i="1"/>
  <c r="J165" i="1"/>
  <c r="A166" i="1"/>
  <c r="J166" i="1"/>
  <c r="A167" i="1"/>
  <c r="J167" i="1"/>
  <c r="A168" i="1"/>
  <c r="J168" i="1"/>
  <c r="A169" i="1"/>
  <c r="J169" i="1"/>
  <c r="A170" i="1"/>
  <c r="J170" i="1"/>
  <c r="A171" i="1"/>
  <c r="J171" i="1"/>
  <c r="A172" i="1"/>
  <c r="J172" i="1"/>
  <c r="A173" i="1"/>
  <c r="J173" i="1"/>
  <c r="A174" i="1"/>
  <c r="J174" i="1"/>
  <c r="A175" i="1"/>
  <c r="J175" i="1"/>
  <c r="A176" i="1"/>
  <c r="J176" i="1"/>
  <c r="A177" i="1"/>
  <c r="J177" i="1"/>
  <c r="A178" i="1"/>
  <c r="J178" i="1"/>
  <c r="A179" i="1"/>
  <c r="J179" i="1"/>
  <c r="A180" i="1"/>
  <c r="J180" i="1"/>
  <c r="A181" i="1"/>
  <c r="J181" i="1"/>
  <c r="A182" i="1"/>
  <c r="J182" i="1"/>
  <c r="A183" i="1"/>
  <c r="J183" i="1"/>
  <c r="A184" i="1"/>
  <c r="J184" i="1"/>
  <c r="A185" i="1"/>
  <c r="J185" i="1"/>
  <c r="A186" i="1"/>
  <c r="J186" i="1"/>
  <c r="A187" i="1"/>
  <c r="J187" i="1"/>
  <c r="A188" i="1"/>
  <c r="J188" i="1"/>
  <c r="A189" i="1"/>
  <c r="J189" i="1"/>
  <c r="A190" i="1"/>
  <c r="J190" i="1"/>
  <c r="A191" i="1"/>
  <c r="J191" i="1"/>
  <c r="A192" i="1"/>
  <c r="J192" i="1"/>
  <c r="A193" i="1"/>
  <c r="J193" i="1"/>
  <c r="A194" i="1"/>
  <c r="J194" i="1"/>
  <c r="A195" i="1"/>
  <c r="J195" i="1"/>
  <c r="A196" i="1"/>
  <c r="J196" i="1"/>
  <c r="A197" i="1"/>
  <c r="J197" i="1"/>
  <c r="A198" i="1"/>
  <c r="J198" i="1"/>
  <c r="A199" i="1"/>
  <c r="J199" i="1"/>
  <c r="A200" i="1"/>
  <c r="J200" i="1"/>
  <c r="A201" i="1"/>
  <c r="J201" i="1"/>
  <c r="A202" i="1"/>
  <c r="J202" i="1"/>
  <c r="A203" i="1"/>
  <c r="J203" i="1"/>
  <c r="A204" i="1"/>
  <c r="J204" i="1"/>
  <c r="A205" i="1"/>
  <c r="J205" i="1"/>
  <c r="A206" i="1"/>
  <c r="J206" i="1"/>
  <c r="A207" i="1"/>
  <c r="J207" i="1"/>
  <c r="A208" i="1"/>
  <c r="J208" i="1"/>
  <c r="A209" i="1"/>
  <c r="J209" i="1"/>
  <c r="A210" i="1"/>
  <c r="J210" i="1"/>
  <c r="A211" i="1"/>
  <c r="J211" i="1"/>
  <c r="A212" i="1"/>
  <c r="J212" i="1"/>
  <c r="A213" i="1"/>
  <c r="J213" i="1"/>
  <c r="A214" i="1"/>
  <c r="J214" i="1"/>
  <c r="A215" i="1"/>
  <c r="J215" i="1"/>
  <c r="A216" i="1"/>
  <c r="J216" i="1"/>
  <c r="A217" i="1"/>
  <c r="J217" i="1"/>
  <c r="A218" i="1"/>
  <c r="J218" i="1"/>
  <c r="A219" i="1"/>
  <c r="J219" i="1"/>
  <c r="A220" i="1"/>
  <c r="J220" i="1"/>
  <c r="A221" i="1"/>
  <c r="J221" i="1"/>
  <c r="A222" i="1"/>
  <c r="J222" i="1"/>
  <c r="A223" i="1"/>
  <c r="J223" i="1"/>
  <c r="A224" i="1"/>
  <c r="J224" i="1"/>
  <c r="A225" i="1"/>
  <c r="J225" i="1"/>
  <c r="A226" i="1"/>
  <c r="J226" i="1"/>
  <c r="A227" i="1"/>
  <c r="J227" i="1"/>
  <c r="A228" i="1"/>
  <c r="J228" i="1"/>
  <c r="A229" i="1"/>
  <c r="J229" i="1"/>
  <c r="A230" i="1"/>
  <c r="J230" i="1"/>
  <c r="A231" i="1"/>
  <c r="J231" i="1"/>
  <c r="A232" i="1"/>
  <c r="J232" i="1"/>
  <c r="A233" i="1"/>
  <c r="J233" i="1"/>
  <c r="A234" i="1"/>
  <c r="J234" i="1"/>
  <c r="A235" i="1"/>
  <c r="J235" i="1"/>
  <c r="A236" i="1"/>
  <c r="J236" i="1"/>
  <c r="A237" i="1"/>
  <c r="J237" i="1"/>
  <c r="A238" i="1"/>
  <c r="J238" i="1"/>
  <c r="A239" i="1"/>
  <c r="J239" i="1"/>
  <c r="A240" i="1"/>
  <c r="J240" i="1"/>
  <c r="A241" i="1"/>
  <c r="J241" i="1"/>
  <c r="A242" i="1"/>
  <c r="J242" i="1"/>
  <c r="A243" i="1"/>
  <c r="J243" i="1"/>
  <c r="A244" i="1"/>
  <c r="J244" i="1"/>
  <c r="A245" i="1"/>
  <c r="J245" i="1"/>
  <c r="A246" i="1"/>
  <c r="J246" i="1"/>
  <c r="A247" i="1"/>
  <c r="J247" i="1"/>
  <c r="A248" i="1"/>
  <c r="J248" i="1"/>
  <c r="A249" i="1"/>
  <c r="J249" i="1"/>
  <c r="A250" i="1"/>
  <c r="J250" i="1"/>
  <c r="A251" i="1"/>
  <c r="J251" i="1"/>
  <c r="A252" i="1"/>
  <c r="J252" i="1"/>
  <c r="A253" i="1"/>
  <c r="J253" i="1"/>
  <c r="A254" i="1"/>
  <c r="J254" i="1"/>
  <c r="A255" i="1"/>
  <c r="J255" i="1"/>
  <c r="A256" i="1"/>
  <c r="J256" i="1"/>
  <c r="A257" i="1"/>
  <c r="J257" i="1"/>
  <c r="A258" i="1"/>
  <c r="J258" i="1"/>
  <c r="A259" i="1"/>
  <c r="J259" i="1"/>
  <c r="A260" i="1"/>
  <c r="J260" i="1"/>
  <c r="A261" i="1"/>
  <c r="J261" i="1"/>
  <c r="A262" i="1"/>
  <c r="J262" i="1"/>
  <c r="A263" i="1"/>
  <c r="J263" i="1"/>
  <c r="A264" i="1"/>
  <c r="J264" i="1"/>
  <c r="A265" i="1"/>
  <c r="J265" i="1"/>
  <c r="A266" i="1"/>
  <c r="J266" i="1"/>
  <c r="A267" i="1"/>
  <c r="J267" i="1"/>
  <c r="A268" i="1"/>
  <c r="J268" i="1"/>
  <c r="A269" i="1"/>
  <c r="J269" i="1"/>
  <c r="A270" i="1"/>
  <c r="J270" i="1"/>
  <c r="A271" i="1"/>
  <c r="J271" i="1"/>
  <c r="A272" i="1"/>
  <c r="J272" i="1"/>
  <c r="A273" i="1"/>
  <c r="J273" i="1"/>
  <c r="A274" i="1"/>
  <c r="J274" i="1"/>
  <c r="A275" i="1"/>
  <c r="J275" i="1"/>
  <c r="A276" i="1"/>
  <c r="J276" i="1"/>
  <c r="A277" i="1"/>
  <c r="J277" i="1"/>
  <c r="A278" i="1"/>
  <c r="J278" i="1"/>
</calcChain>
</file>

<file path=xl/sharedStrings.xml><?xml version="1.0" encoding="utf-8"?>
<sst xmlns="http://schemas.openxmlformats.org/spreadsheetml/2006/main" count="1672" uniqueCount="147">
  <si>
    <t>Ahmedabad</t>
  </si>
  <si>
    <t>v GT</t>
  </si>
  <si>
    <t>1st</t>
  </si>
  <si>
    <t>won</t>
  </si>
  <si>
    <t>83 runs</t>
  </si>
  <si>
    <t>Delhi</t>
  </si>
  <si>
    <t>v RR</t>
  </si>
  <si>
    <t>lost</t>
  </si>
  <si>
    <t>6 wickets</t>
  </si>
  <si>
    <t>Eden Gardens</t>
  </si>
  <si>
    <t>v KKR</t>
  </si>
  <si>
    <t>2nd</t>
  </si>
  <si>
    <t>2 wickets</t>
  </si>
  <si>
    <t>Bengaluru</t>
  </si>
  <si>
    <t>v RCB</t>
  </si>
  <si>
    <t>2 runs</t>
  </si>
  <si>
    <t>Chennai</t>
  </si>
  <si>
    <t>v Punjab Kings</t>
  </si>
  <si>
    <t>4 wickets</t>
  </si>
  <si>
    <t>v SRH</t>
  </si>
  <si>
    <t>5 wickets</t>
  </si>
  <si>
    <t>Wankhede</t>
  </si>
  <si>
    <t>v MI</t>
  </si>
  <si>
    <t>9 wickets</t>
  </si>
  <si>
    <t>Lucknow</t>
  </si>
  <si>
    <t>v LSG</t>
  </si>
  <si>
    <t>8 wickets</t>
  </si>
  <si>
    <t>New Chandigarh</t>
  </si>
  <si>
    <t>18 runs</t>
  </si>
  <si>
    <t>v DC</t>
  </si>
  <si>
    <t>25 runs</t>
  </si>
  <si>
    <t>Guwahati</t>
  </si>
  <si>
    <t>6 runs</t>
  </si>
  <si>
    <t>50 runs</t>
  </si>
  <si>
    <t>27 runs</t>
  </si>
  <si>
    <t>35 runs</t>
  </si>
  <si>
    <t>Dharamsala</t>
  </si>
  <si>
    <t>28 runs</t>
  </si>
  <si>
    <t>7 wickets</t>
  </si>
  <si>
    <t>78 runs</t>
  </si>
  <si>
    <t>20 runs</t>
  </si>
  <si>
    <t>Hyderabad</t>
  </si>
  <si>
    <t>Visakhapatnam</t>
  </si>
  <si>
    <t>63 runs</t>
  </si>
  <si>
    <t>15 runs</t>
  </si>
  <si>
    <t>77 runs</t>
  </si>
  <si>
    <t>-</t>
  </si>
  <si>
    <t>n/r</t>
  </si>
  <si>
    <t>Jaipur</t>
  </si>
  <si>
    <t>32 runs</t>
  </si>
  <si>
    <t>49 runs</t>
  </si>
  <si>
    <t>8 runs</t>
  </si>
  <si>
    <t>3 runs</t>
  </si>
  <si>
    <t>12 runs</t>
  </si>
  <si>
    <t>Brabourne</t>
  </si>
  <si>
    <t>DY Patil</t>
  </si>
  <si>
    <t>91 runs</t>
  </si>
  <si>
    <t>Pune</t>
  </si>
  <si>
    <t>13 runs</t>
  </si>
  <si>
    <t>11 runs</t>
  </si>
  <si>
    <t>3 wickets</t>
  </si>
  <si>
    <t>23 runs</t>
  </si>
  <si>
    <t>54 runs</t>
  </si>
  <si>
    <t>Dubai (DICS)</t>
  </si>
  <si>
    <t>Abu Dhabi</t>
  </si>
  <si>
    <t>Sharjah</t>
  </si>
  <si>
    <t>69 runs</t>
  </si>
  <si>
    <t>45 runs</t>
  </si>
  <si>
    <t>v Kings XI</t>
  </si>
  <si>
    <t>10 wickets</t>
  </si>
  <si>
    <t>37 runs</t>
  </si>
  <si>
    <t>10 runs</t>
  </si>
  <si>
    <t>7 runs</t>
  </si>
  <si>
    <t>44 runs</t>
  </si>
  <si>
    <t>16 runs</t>
  </si>
  <si>
    <t>1 runs</t>
  </si>
  <si>
    <t>Mohali</t>
  </si>
  <si>
    <t>80 runs</t>
  </si>
  <si>
    <t>46 runs</t>
  </si>
  <si>
    <t>22 runs</t>
  </si>
  <si>
    <t>v Daredevils</t>
  </si>
  <si>
    <t>34 runs</t>
  </si>
  <si>
    <t>4 runs</t>
  </si>
  <si>
    <t>64 runs</t>
  </si>
  <si>
    <t>1 wickets</t>
  </si>
  <si>
    <t>41 runs</t>
  </si>
  <si>
    <t>Ranchi</t>
  </si>
  <si>
    <t>Raipur</t>
  </si>
  <si>
    <t>24 runs</t>
  </si>
  <si>
    <t>97 runs</t>
  </si>
  <si>
    <t>65 runs</t>
  </si>
  <si>
    <t>v Scorchers</t>
  </si>
  <si>
    <t>v Dolphins</t>
  </si>
  <si>
    <t>Cuttack</t>
  </si>
  <si>
    <t>93 runs</t>
  </si>
  <si>
    <t>14 runs</t>
  </si>
  <si>
    <t>v Trinidad &amp; T</t>
  </si>
  <si>
    <t>v Heat</t>
  </si>
  <si>
    <t>v Titans</t>
  </si>
  <si>
    <t>48 runs</t>
  </si>
  <si>
    <t>33 runs</t>
  </si>
  <si>
    <t>60 runs</t>
  </si>
  <si>
    <t>v Warriors</t>
  </si>
  <si>
    <t>86 runs</t>
  </si>
  <si>
    <t>9 runs</t>
  </si>
  <si>
    <t>Durban</t>
  </si>
  <si>
    <t>v Yorkshire</t>
  </si>
  <si>
    <t>Johannesburg</t>
  </si>
  <si>
    <t>Cape Town</t>
  </si>
  <si>
    <t>v Lions</t>
  </si>
  <si>
    <t>v Sixers</t>
  </si>
  <si>
    <t>38 runs</t>
  </si>
  <si>
    <t>v Chargers</t>
  </si>
  <si>
    <t>74 runs</t>
  </si>
  <si>
    <t>v NSW</t>
  </si>
  <si>
    <t>v Cape Cobras</t>
  </si>
  <si>
    <t>58 runs</t>
  </si>
  <si>
    <t>v Kochi</t>
  </si>
  <si>
    <t>19 runs</t>
  </si>
  <si>
    <t>Kochi</t>
  </si>
  <si>
    <t>21 runs</t>
  </si>
  <si>
    <t>52 runs</t>
  </si>
  <si>
    <t>Gqeberha</t>
  </si>
  <si>
    <t>v Victoria</t>
  </si>
  <si>
    <t>tied</t>
  </si>
  <si>
    <t>Centurion</t>
  </si>
  <si>
    <t>v Wayamba</t>
  </si>
  <si>
    <t>v Central D</t>
  </si>
  <si>
    <t>57 runs</t>
  </si>
  <si>
    <t>Nagpur</t>
  </si>
  <si>
    <t>17 runs</t>
  </si>
  <si>
    <t>36 runs</t>
  </si>
  <si>
    <t>55 runs</t>
  </si>
  <si>
    <t>31 runs</t>
  </si>
  <si>
    <t>Kimberley</t>
  </si>
  <si>
    <t>East London</t>
  </si>
  <si>
    <t>92 runs</t>
  </si>
  <si>
    <t>Home/Away</t>
  </si>
  <si>
    <t>Ground</t>
  </si>
  <si>
    <t>Opposition</t>
  </si>
  <si>
    <t>Bat</t>
  </si>
  <si>
    <t>Toss</t>
  </si>
  <si>
    <t>BR</t>
  </si>
  <si>
    <t>Margin</t>
  </si>
  <si>
    <t>Result</t>
  </si>
  <si>
    <t>Start_Date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</si>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</sst>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81FB-BE70-4617-B286-901B334335D8}">
  <dimension ref="A1:J278"/>
  <sheetViews>
    <sheetView tabSelected="1" workbookViewId="0">
      <selection activeCell="K14" sqref="K14"/>
    </sheetView>
  </sheetViews>
  <sheetFormatPr defaultRowHeight="14.4" x14ac:dyDescent="0.3"/>
  <cols>
    <col min="1" max="1" width="7" bestFit="1" customWidth="1"/>
    <col min="2" max="2" width="10.33203125" bestFit="1" customWidth="1"/>
    <col min="3" max="3" width="6.109375" bestFit="1" customWidth="1"/>
    <col min="4" max="4" width="9.5546875" bestFit="1" customWidth="1"/>
    <col min="5" max="5" width="3.21875" bestFit="1" customWidth="1"/>
    <col min="6" max="6" width="4.6640625" bestFit="1" customWidth="1"/>
    <col min="7" max="7" width="4" bestFit="1" customWidth="1"/>
    <col min="8" max="8" width="12.5546875" bestFit="1" customWidth="1"/>
    <col min="9" max="9" width="14.44140625" bestFit="1" customWidth="1"/>
    <col min="10" max="10" width="11.5546875" bestFit="1" customWidth="1"/>
  </cols>
  <sheetData>
    <row r="1" spans="1:10" x14ac:dyDescent="0.3">
      <c r="A1" s="2" t="s">
        <v>146</v>
      </c>
      <c r="B1" s="3" t="s">
        <v>145</v>
      </c>
      <c r="C1" s="2" t="s">
        <v>144</v>
      </c>
      <c r="D1" s="2" t="s">
        <v>143</v>
      </c>
      <c r="E1" s="2" t="s">
        <v>142</v>
      </c>
      <c r="F1" s="2" t="s">
        <v>141</v>
      </c>
      <c r="G1" s="2" t="s">
        <v>140</v>
      </c>
      <c r="H1" s="2" t="s">
        <v>139</v>
      </c>
      <c r="I1" s="2" t="s">
        <v>138</v>
      </c>
      <c r="J1" s="2" t="s">
        <v>137</v>
      </c>
    </row>
    <row r="2" spans="1:10" x14ac:dyDescent="0.3">
      <c r="A2">
        <f>YEAR(Sheet1!$B2)</f>
        <v>2008</v>
      </c>
      <c r="B2" s="1">
        <v>39557</v>
      </c>
      <c r="C2" t="s">
        <v>3</v>
      </c>
      <c r="D2" t="s">
        <v>100</v>
      </c>
      <c r="F2" t="s">
        <v>3</v>
      </c>
      <c r="G2" t="s">
        <v>2</v>
      </c>
      <c r="H2" t="s">
        <v>68</v>
      </c>
      <c r="I2" t="s">
        <v>76</v>
      </c>
      <c r="J2" t="str">
        <f>IF(Sheet1!$I2="Chennai","Home","Away")</f>
        <v>Away</v>
      </c>
    </row>
    <row r="3" spans="1:10" x14ac:dyDescent="0.3">
      <c r="A3">
        <f>YEAR(Sheet1!$B3)</f>
        <v>2008</v>
      </c>
      <c r="B3" s="1">
        <v>39561</v>
      </c>
      <c r="C3" t="s">
        <v>3</v>
      </c>
      <c r="D3" t="s">
        <v>32</v>
      </c>
      <c r="F3" t="s">
        <v>7</v>
      </c>
      <c r="G3" t="s">
        <v>2</v>
      </c>
      <c r="H3" t="s">
        <v>22</v>
      </c>
      <c r="I3" t="s">
        <v>16</v>
      </c>
      <c r="J3" t="str">
        <f>IF(Sheet1!$I3="Chennai","Home","Away")</f>
        <v>Home</v>
      </c>
    </row>
    <row r="4" spans="1:10" x14ac:dyDescent="0.3">
      <c r="A4">
        <f>YEAR(Sheet1!$B4)</f>
        <v>2008</v>
      </c>
      <c r="B4" s="1">
        <v>39564</v>
      </c>
      <c r="C4" t="s">
        <v>3</v>
      </c>
      <c r="D4" t="s">
        <v>23</v>
      </c>
      <c r="E4">
        <v>18</v>
      </c>
      <c r="F4" t="s">
        <v>7</v>
      </c>
      <c r="G4" t="s">
        <v>11</v>
      </c>
      <c r="H4" t="s">
        <v>10</v>
      </c>
      <c r="I4" t="s">
        <v>16</v>
      </c>
      <c r="J4" t="str">
        <f>IF(Sheet1!$I4="Chennai","Home","Away")</f>
        <v>Home</v>
      </c>
    </row>
    <row r="5" spans="1:10" x14ac:dyDescent="0.3">
      <c r="A5">
        <f>YEAR(Sheet1!$B5)</f>
        <v>2008</v>
      </c>
      <c r="B5" s="1">
        <v>39566</v>
      </c>
      <c r="C5" t="s">
        <v>3</v>
      </c>
      <c r="D5" t="s">
        <v>58</v>
      </c>
      <c r="F5" t="s">
        <v>3</v>
      </c>
      <c r="G5" t="s">
        <v>2</v>
      </c>
      <c r="H5" t="s">
        <v>14</v>
      </c>
      <c r="I5" t="s">
        <v>13</v>
      </c>
      <c r="J5" t="str">
        <f>IF(Sheet1!$I5="Chennai","Home","Away")</f>
        <v>Away</v>
      </c>
    </row>
    <row r="6" spans="1:10" x14ac:dyDescent="0.3">
      <c r="A6">
        <f>YEAR(Sheet1!$B6)</f>
        <v>2008</v>
      </c>
      <c r="B6" s="1">
        <v>39570</v>
      </c>
      <c r="C6" t="s">
        <v>7</v>
      </c>
      <c r="D6" t="s">
        <v>26</v>
      </c>
      <c r="E6">
        <v>6</v>
      </c>
      <c r="F6" t="s">
        <v>3</v>
      </c>
      <c r="G6" t="s">
        <v>2</v>
      </c>
      <c r="H6" t="s">
        <v>80</v>
      </c>
      <c r="I6" t="s">
        <v>16</v>
      </c>
      <c r="J6" t="str">
        <f>IF(Sheet1!$I6="Chennai","Home","Away")</f>
        <v>Home</v>
      </c>
    </row>
    <row r="7" spans="1:10" x14ac:dyDescent="0.3">
      <c r="A7">
        <f>YEAR(Sheet1!$B7)</f>
        <v>2008</v>
      </c>
      <c r="B7" s="1">
        <v>39572</v>
      </c>
      <c r="C7" t="s">
        <v>7</v>
      </c>
      <c r="D7" t="s">
        <v>26</v>
      </c>
      <c r="E7">
        <v>34</v>
      </c>
      <c r="F7" t="s">
        <v>3</v>
      </c>
      <c r="G7" t="s">
        <v>2</v>
      </c>
      <c r="H7" t="s">
        <v>6</v>
      </c>
      <c r="I7" t="s">
        <v>48</v>
      </c>
      <c r="J7" t="str">
        <f>IF(Sheet1!$I7="Chennai","Home","Away")</f>
        <v>Away</v>
      </c>
    </row>
    <row r="8" spans="1:10" x14ac:dyDescent="0.3">
      <c r="A8">
        <f>YEAR(Sheet1!$B8)</f>
        <v>2008</v>
      </c>
      <c r="B8" s="1">
        <v>39574</v>
      </c>
      <c r="C8" t="s">
        <v>7</v>
      </c>
      <c r="D8" t="s">
        <v>38</v>
      </c>
      <c r="E8">
        <v>12</v>
      </c>
      <c r="F8" t="s">
        <v>7</v>
      </c>
      <c r="G8" t="s">
        <v>2</v>
      </c>
      <c r="H8" t="s">
        <v>112</v>
      </c>
      <c r="I8" t="s">
        <v>16</v>
      </c>
      <c r="J8" t="str">
        <f>IF(Sheet1!$I8="Chennai","Home","Away")</f>
        <v>Home</v>
      </c>
    </row>
    <row r="9" spans="1:10" x14ac:dyDescent="0.3">
      <c r="A9">
        <f>YEAR(Sheet1!$B9)</f>
        <v>2008</v>
      </c>
      <c r="B9" s="1">
        <v>39576</v>
      </c>
      <c r="C9" t="s">
        <v>3</v>
      </c>
      <c r="D9" t="s">
        <v>18</v>
      </c>
      <c r="E9">
        <v>0</v>
      </c>
      <c r="F9" t="s">
        <v>3</v>
      </c>
      <c r="G9" t="s">
        <v>11</v>
      </c>
      <c r="H9" t="s">
        <v>80</v>
      </c>
      <c r="I9" t="s">
        <v>5</v>
      </c>
      <c r="J9" t="str">
        <f>IF(Sheet1!$I9="Chennai","Home","Away")</f>
        <v>Away</v>
      </c>
    </row>
    <row r="10" spans="1:10" x14ac:dyDescent="0.3">
      <c r="A10">
        <f>YEAR(Sheet1!$B10)</f>
        <v>2008</v>
      </c>
      <c r="B10" s="1">
        <v>39578</v>
      </c>
      <c r="C10" t="s">
        <v>3</v>
      </c>
      <c r="D10" t="s">
        <v>28</v>
      </c>
      <c r="F10" t="s">
        <v>7</v>
      </c>
      <c r="G10" t="s">
        <v>2</v>
      </c>
      <c r="H10" t="s">
        <v>68</v>
      </c>
      <c r="I10" t="s">
        <v>16</v>
      </c>
      <c r="J10" t="str">
        <f>IF(Sheet1!$I10="Chennai","Home","Away")</f>
        <v>Home</v>
      </c>
    </row>
    <row r="11" spans="1:10" x14ac:dyDescent="0.3">
      <c r="A11">
        <f>YEAR(Sheet1!$B11)</f>
        <v>2008</v>
      </c>
      <c r="B11" s="1">
        <v>39582</v>
      </c>
      <c r="C11" t="s">
        <v>7</v>
      </c>
      <c r="D11" t="s">
        <v>23</v>
      </c>
      <c r="E11">
        <v>37</v>
      </c>
      <c r="F11" t="s">
        <v>7</v>
      </c>
      <c r="G11" t="s">
        <v>2</v>
      </c>
      <c r="H11" t="s">
        <v>22</v>
      </c>
      <c r="I11" t="s">
        <v>21</v>
      </c>
      <c r="J11" t="str">
        <f>IF(Sheet1!$I11="Chennai","Home","Away")</f>
        <v>Away</v>
      </c>
    </row>
    <row r="12" spans="1:10" x14ac:dyDescent="0.3">
      <c r="A12">
        <f>YEAR(Sheet1!$B12)</f>
        <v>2008</v>
      </c>
      <c r="B12" s="1">
        <v>39586</v>
      </c>
      <c r="C12" t="s">
        <v>3</v>
      </c>
      <c r="D12" t="s">
        <v>52</v>
      </c>
      <c r="F12" t="s">
        <v>7</v>
      </c>
      <c r="G12" t="s">
        <v>11</v>
      </c>
      <c r="H12" t="s">
        <v>10</v>
      </c>
      <c r="I12" t="s">
        <v>9</v>
      </c>
      <c r="J12" t="str">
        <f>IF(Sheet1!$I12="Chennai","Home","Away")</f>
        <v>Away</v>
      </c>
    </row>
    <row r="13" spans="1:10" x14ac:dyDescent="0.3">
      <c r="A13">
        <f>YEAR(Sheet1!$B13)</f>
        <v>2008</v>
      </c>
      <c r="B13" s="1">
        <v>39589</v>
      </c>
      <c r="C13" t="s">
        <v>7</v>
      </c>
      <c r="D13" t="s">
        <v>95</v>
      </c>
      <c r="F13" t="s">
        <v>7</v>
      </c>
      <c r="G13" t="s">
        <v>11</v>
      </c>
      <c r="H13" t="s">
        <v>14</v>
      </c>
      <c r="I13" t="s">
        <v>16</v>
      </c>
      <c r="J13" t="str">
        <f>IF(Sheet1!$I13="Chennai","Home","Away")</f>
        <v>Home</v>
      </c>
    </row>
    <row r="14" spans="1:10" x14ac:dyDescent="0.3">
      <c r="A14">
        <f>YEAR(Sheet1!$B14)</f>
        <v>2008</v>
      </c>
      <c r="B14" s="1">
        <v>39592</v>
      </c>
      <c r="C14" t="s">
        <v>7</v>
      </c>
      <c r="D14" t="s">
        <v>71</v>
      </c>
      <c r="F14" t="s">
        <v>7</v>
      </c>
      <c r="G14" t="s">
        <v>11</v>
      </c>
      <c r="H14" t="s">
        <v>6</v>
      </c>
      <c r="I14" t="s">
        <v>16</v>
      </c>
      <c r="J14" t="str">
        <f>IF(Sheet1!$I14="Chennai","Home","Away")</f>
        <v>Home</v>
      </c>
    </row>
    <row r="15" spans="1:10" x14ac:dyDescent="0.3">
      <c r="A15">
        <f>YEAR(Sheet1!$B15)</f>
        <v>2008</v>
      </c>
      <c r="B15" s="1">
        <v>39595</v>
      </c>
      <c r="C15" t="s">
        <v>3</v>
      </c>
      <c r="D15" t="s">
        <v>38</v>
      </c>
      <c r="E15">
        <v>4</v>
      </c>
      <c r="F15" t="s">
        <v>7</v>
      </c>
      <c r="G15" t="s">
        <v>11</v>
      </c>
      <c r="H15" t="s">
        <v>112</v>
      </c>
      <c r="I15" t="s">
        <v>41</v>
      </c>
      <c r="J15" t="str">
        <f>IF(Sheet1!$I15="Chennai","Home","Away")</f>
        <v>Away</v>
      </c>
    </row>
    <row r="16" spans="1:10" x14ac:dyDescent="0.3">
      <c r="A16">
        <f>YEAR(Sheet1!$B16)</f>
        <v>2008</v>
      </c>
      <c r="B16" s="1">
        <v>39599</v>
      </c>
      <c r="C16" t="s">
        <v>3</v>
      </c>
      <c r="D16" t="s">
        <v>23</v>
      </c>
      <c r="E16">
        <v>31</v>
      </c>
      <c r="F16" t="s">
        <v>7</v>
      </c>
      <c r="G16" t="s">
        <v>11</v>
      </c>
      <c r="H16" t="s">
        <v>68</v>
      </c>
      <c r="I16" t="s">
        <v>21</v>
      </c>
      <c r="J16" t="str">
        <f>IF(Sheet1!$I16="Chennai","Home","Away")</f>
        <v>Away</v>
      </c>
    </row>
    <row r="17" spans="1:10" x14ac:dyDescent="0.3">
      <c r="A17">
        <f>YEAR(Sheet1!$B17)</f>
        <v>2008</v>
      </c>
      <c r="B17" s="1">
        <v>39600</v>
      </c>
      <c r="C17" t="s">
        <v>7</v>
      </c>
      <c r="D17" t="s">
        <v>60</v>
      </c>
      <c r="E17">
        <v>0</v>
      </c>
      <c r="F17" t="s">
        <v>7</v>
      </c>
      <c r="G17" t="s">
        <v>2</v>
      </c>
      <c r="H17" t="s">
        <v>6</v>
      </c>
      <c r="I17" t="s">
        <v>55</v>
      </c>
      <c r="J17" t="str">
        <f>IF(Sheet1!$I17="Chennai","Home","Away")</f>
        <v>Away</v>
      </c>
    </row>
    <row r="18" spans="1:10" x14ac:dyDescent="0.3">
      <c r="A18">
        <f>YEAR(Sheet1!$B18)</f>
        <v>2009</v>
      </c>
      <c r="B18" s="1">
        <v>39921</v>
      </c>
      <c r="C18" t="s">
        <v>7</v>
      </c>
      <c r="D18" t="s">
        <v>118</v>
      </c>
      <c r="F18" t="s">
        <v>3</v>
      </c>
      <c r="G18" t="s">
        <v>11</v>
      </c>
      <c r="H18" t="s">
        <v>22</v>
      </c>
      <c r="I18" t="s">
        <v>108</v>
      </c>
      <c r="J18" t="str">
        <f>IF(Sheet1!$I18="Chennai","Home","Away")</f>
        <v>Away</v>
      </c>
    </row>
    <row r="19" spans="1:10" x14ac:dyDescent="0.3">
      <c r="A19">
        <f>YEAR(Sheet1!$B19)</f>
        <v>2009</v>
      </c>
      <c r="B19" s="1">
        <v>39923</v>
      </c>
      <c r="C19" t="s">
        <v>3</v>
      </c>
      <c r="D19" t="s">
        <v>136</v>
      </c>
      <c r="F19" t="s">
        <v>3</v>
      </c>
      <c r="G19" t="s">
        <v>2</v>
      </c>
      <c r="H19" t="s">
        <v>14</v>
      </c>
      <c r="I19" t="s">
        <v>122</v>
      </c>
      <c r="J19" t="str">
        <f>IF(Sheet1!$I19="Chennai","Home","Away")</f>
        <v>Away</v>
      </c>
    </row>
    <row r="20" spans="1:10" x14ac:dyDescent="0.3">
      <c r="A20">
        <f>YEAR(Sheet1!$B20)</f>
        <v>2009</v>
      </c>
      <c r="B20" s="1">
        <v>39926</v>
      </c>
      <c r="C20" t="s">
        <v>7</v>
      </c>
      <c r="D20" t="s">
        <v>104</v>
      </c>
      <c r="F20" t="s">
        <v>7</v>
      </c>
      <c r="G20" t="s">
        <v>11</v>
      </c>
      <c r="H20" t="s">
        <v>80</v>
      </c>
      <c r="I20" t="s">
        <v>105</v>
      </c>
      <c r="J20" t="str">
        <f>IF(Sheet1!$I20="Chennai","Home","Away")</f>
        <v>Away</v>
      </c>
    </row>
    <row r="21" spans="1:10" x14ac:dyDescent="0.3">
      <c r="A21">
        <f>YEAR(Sheet1!$B21)</f>
        <v>2009</v>
      </c>
      <c r="B21" s="1">
        <v>39930</v>
      </c>
      <c r="C21" t="s">
        <v>7</v>
      </c>
      <c r="D21" t="s">
        <v>8</v>
      </c>
      <c r="E21">
        <v>3</v>
      </c>
      <c r="F21" t="s">
        <v>7</v>
      </c>
      <c r="G21" t="s">
        <v>2</v>
      </c>
      <c r="H21" t="s">
        <v>112</v>
      </c>
      <c r="I21" t="s">
        <v>105</v>
      </c>
      <c r="J21" t="str">
        <f>IF(Sheet1!$I21="Chennai","Home","Away")</f>
        <v>Away</v>
      </c>
    </row>
    <row r="22" spans="1:10" x14ac:dyDescent="0.3">
      <c r="A22">
        <f>YEAR(Sheet1!$B22)</f>
        <v>2009</v>
      </c>
      <c r="B22" s="1">
        <v>39933</v>
      </c>
      <c r="C22" t="s">
        <v>3</v>
      </c>
      <c r="D22" t="s">
        <v>111</v>
      </c>
      <c r="F22" t="s">
        <v>7</v>
      </c>
      <c r="G22" t="s">
        <v>2</v>
      </c>
      <c r="H22" t="s">
        <v>6</v>
      </c>
      <c r="I22" t="s">
        <v>125</v>
      </c>
      <c r="J22" t="str">
        <f>IF(Sheet1!$I22="Chennai","Home","Away")</f>
        <v>Away</v>
      </c>
    </row>
    <row r="23" spans="1:10" x14ac:dyDescent="0.3">
      <c r="A23">
        <f>YEAR(Sheet1!$B23)</f>
        <v>2009</v>
      </c>
      <c r="B23" s="1">
        <v>39935</v>
      </c>
      <c r="C23" t="s">
        <v>3</v>
      </c>
      <c r="D23" t="s">
        <v>28</v>
      </c>
      <c r="F23" t="s">
        <v>7</v>
      </c>
      <c r="G23" t="s">
        <v>2</v>
      </c>
      <c r="H23" t="s">
        <v>80</v>
      </c>
      <c r="I23" t="s">
        <v>107</v>
      </c>
      <c r="J23" t="str">
        <f>IF(Sheet1!$I23="Chennai","Home","Away")</f>
        <v>Away</v>
      </c>
    </row>
    <row r="24" spans="1:10" x14ac:dyDescent="0.3">
      <c r="A24">
        <f>YEAR(Sheet1!$B24)</f>
        <v>2009</v>
      </c>
      <c r="B24" s="1">
        <v>39937</v>
      </c>
      <c r="C24" t="s">
        <v>3</v>
      </c>
      <c r="D24" t="s">
        <v>39</v>
      </c>
      <c r="F24" t="s">
        <v>3</v>
      </c>
      <c r="G24" t="s">
        <v>2</v>
      </c>
      <c r="H24" t="s">
        <v>112</v>
      </c>
      <c r="I24" t="s">
        <v>135</v>
      </c>
      <c r="J24" t="str">
        <f>IF(Sheet1!$I24="Chennai","Home","Away")</f>
        <v>Away</v>
      </c>
    </row>
    <row r="25" spans="1:10" x14ac:dyDescent="0.3">
      <c r="A25">
        <f>YEAR(Sheet1!$B25)</f>
        <v>2009</v>
      </c>
      <c r="B25" s="1">
        <v>39940</v>
      </c>
      <c r="C25" t="s">
        <v>3</v>
      </c>
      <c r="D25" t="s">
        <v>53</v>
      </c>
      <c r="F25" t="s">
        <v>3</v>
      </c>
      <c r="G25" t="s">
        <v>2</v>
      </c>
      <c r="H25" t="s">
        <v>68</v>
      </c>
      <c r="I25" t="s">
        <v>125</v>
      </c>
      <c r="J25" t="str">
        <f>IF(Sheet1!$I25="Chennai","Home","Away")</f>
        <v>Away</v>
      </c>
    </row>
    <row r="26" spans="1:10" x14ac:dyDescent="0.3">
      <c r="A26">
        <f>YEAR(Sheet1!$B26)</f>
        <v>2009</v>
      </c>
      <c r="B26" s="1">
        <v>39942</v>
      </c>
      <c r="C26" t="s">
        <v>3</v>
      </c>
      <c r="D26" t="s">
        <v>38</v>
      </c>
      <c r="E26">
        <v>10</v>
      </c>
      <c r="F26" t="s">
        <v>7</v>
      </c>
      <c r="G26" t="s">
        <v>11</v>
      </c>
      <c r="H26" t="s">
        <v>6</v>
      </c>
      <c r="I26" t="s">
        <v>134</v>
      </c>
      <c r="J26" t="str">
        <f>IF(Sheet1!$I26="Chennai","Home","Away")</f>
        <v>Away</v>
      </c>
    </row>
    <row r="27" spans="1:10" x14ac:dyDescent="0.3">
      <c r="A27">
        <f>YEAR(Sheet1!$B27)</f>
        <v>2009</v>
      </c>
      <c r="B27" s="1">
        <v>39947</v>
      </c>
      <c r="C27" t="s">
        <v>7</v>
      </c>
      <c r="D27" t="s">
        <v>12</v>
      </c>
      <c r="E27">
        <v>2</v>
      </c>
      <c r="F27" t="s">
        <v>3</v>
      </c>
      <c r="G27" t="s">
        <v>2</v>
      </c>
      <c r="H27" t="s">
        <v>14</v>
      </c>
      <c r="I27" t="s">
        <v>105</v>
      </c>
      <c r="J27" t="str">
        <f>IF(Sheet1!$I27="Chennai","Home","Away")</f>
        <v>Away</v>
      </c>
    </row>
    <row r="28" spans="1:10" x14ac:dyDescent="0.3">
      <c r="A28">
        <f>YEAR(Sheet1!$B28)</f>
        <v>2009</v>
      </c>
      <c r="B28" s="1">
        <v>39949</v>
      </c>
      <c r="C28" t="s">
        <v>3</v>
      </c>
      <c r="D28" t="s">
        <v>38</v>
      </c>
      <c r="E28">
        <v>5</v>
      </c>
      <c r="F28" t="s">
        <v>7</v>
      </c>
      <c r="G28" t="s">
        <v>11</v>
      </c>
      <c r="H28" t="s">
        <v>22</v>
      </c>
      <c r="I28" t="s">
        <v>122</v>
      </c>
      <c r="J28" t="str">
        <f>IF(Sheet1!$I28="Chennai","Home","Away")</f>
        <v>Away</v>
      </c>
    </row>
    <row r="29" spans="1:10" x14ac:dyDescent="0.3">
      <c r="A29">
        <f>YEAR(Sheet1!$B29)</f>
        <v>2009</v>
      </c>
      <c r="B29" s="1">
        <v>39951</v>
      </c>
      <c r="C29" t="s">
        <v>7</v>
      </c>
      <c r="D29" t="s">
        <v>38</v>
      </c>
      <c r="E29">
        <v>0</v>
      </c>
      <c r="F29" t="s">
        <v>3</v>
      </c>
      <c r="G29" t="s">
        <v>2</v>
      </c>
      <c r="H29" t="s">
        <v>10</v>
      </c>
      <c r="I29" t="s">
        <v>125</v>
      </c>
      <c r="J29" t="str">
        <f>IF(Sheet1!$I29="Chennai","Home","Away")</f>
        <v>Away</v>
      </c>
    </row>
    <row r="30" spans="1:10" x14ac:dyDescent="0.3">
      <c r="A30">
        <f>YEAR(Sheet1!$B30)</f>
        <v>2009</v>
      </c>
      <c r="B30" s="1">
        <v>39953</v>
      </c>
      <c r="C30" t="s">
        <v>3</v>
      </c>
      <c r="D30" t="s">
        <v>88</v>
      </c>
      <c r="F30" t="s">
        <v>3</v>
      </c>
      <c r="G30" t="s">
        <v>2</v>
      </c>
      <c r="H30" t="s">
        <v>68</v>
      </c>
      <c r="I30" t="s">
        <v>105</v>
      </c>
      <c r="J30" t="str">
        <f>IF(Sheet1!$I30="Chennai","Home","Away")</f>
        <v>Away</v>
      </c>
    </row>
    <row r="31" spans="1:10" x14ac:dyDescent="0.3">
      <c r="A31">
        <f>YEAR(Sheet1!$B31)</f>
        <v>2009</v>
      </c>
      <c r="B31" s="1">
        <v>39956</v>
      </c>
      <c r="C31" t="s">
        <v>7</v>
      </c>
      <c r="D31" t="s">
        <v>8</v>
      </c>
      <c r="E31">
        <v>7</v>
      </c>
      <c r="F31" t="s">
        <v>7</v>
      </c>
      <c r="G31" t="s">
        <v>2</v>
      </c>
      <c r="H31" t="s">
        <v>14</v>
      </c>
      <c r="I31" t="s">
        <v>107</v>
      </c>
      <c r="J31" t="str">
        <f>IF(Sheet1!$I31="Chennai","Home","Away")</f>
        <v>Away</v>
      </c>
    </row>
    <row r="32" spans="1:10" x14ac:dyDescent="0.3">
      <c r="A32">
        <f>YEAR(Sheet1!$B32)</f>
        <v>2010</v>
      </c>
      <c r="B32" s="1">
        <v>40251</v>
      </c>
      <c r="C32" t="s">
        <v>7</v>
      </c>
      <c r="D32" t="s">
        <v>133</v>
      </c>
      <c r="F32" t="s">
        <v>7</v>
      </c>
      <c r="G32" t="s">
        <v>11</v>
      </c>
      <c r="H32" t="s">
        <v>112</v>
      </c>
      <c r="I32" t="s">
        <v>16</v>
      </c>
      <c r="J32" t="str">
        <f>IF(Sheet1!$I32="Chennai","Home","Away")</f>
        <v>Home</v>
      </c>
    </row>
    <row r="33" spans="1:10" x14ac:dyDescent="0.3">
      <c r="A33">
        <f>YEAR(Sheet1!$B33)</f>
        <v>2010</v>
      </c>
      <c r="B33" s="1">
        <v>40253</v>
      </c>
      <c r="C33" t="s">
        <v>3</v>
      </c>
      <c r="D33" t="s">
        <v>132</v>
      </c>
      <c r="F33" t="s">
        <v>3</v>
      </c>
      <c r="G33" t="s">
        <v>2</v>
      </c>
      <c r="H33" t="s">
        <v>10</v>
      </c>
      <c r="I33" t="s">
        <v>9</v>
      </c>
      <c r="J33" t="str">
        <f>IF(Sheet1!$I33="Chennai","Home","Away")</f>
        <v>Away</v>
      </c>
    </row>
    <row r="34" spans="1:10" x14ac:dyDescent="0.3">
      <c r="A34">
        <f>YEAR(Sheet1!$B34)</f>
        <v>2010</v>
      </c>
      <c r="B34" s="1">
        <v>40256</v>
      </c>
      <c r="C34" t="s">
        <v>3</v>
      </c>
      <c r="D34" t="s">
        <v>20</v>
      </c>
      <c r="E34">
        <v>5</v>
      </c>
      <c r="F34" t="s">
        <v>7</v>
      </c>
      <c r="G34" t="s">
        <v>11</v>
      </c>
      <c r="H34" t="s">
        <v>80</v>
      </c>
      <c r="I34" t="s">
        <v>5</v>
      </c>
      <c r="J34" t="str">
        <f>IF(Sheet1!$I34="Chennai","Home","Away")</f>
        <v>Away</v>
      </c>
    </row>
    <row r="35" spans="1:10" x14ac:dyDescent="0.3">
      <c r="A35">
        <f>YEAR(Sheet1!$B35)</f>
        <v>2010</v>
      </c>
      <c r="B35" s="1">
        <v>40258</v>
      </c>
      <c r="C35" t="s">
        <v>124</v>
      </c>
      <c r="D35" t="s">
        <v>46</v>
      </c>
      <c r="F35" t="s">
        <v>3</v>
      </c>
      <c r="G35" t="s">
        <v>11</v>
      </c>
      <c r="H35" t="s">
        <v>68</v>
      </c>
      <c r="I35" t="s">
        <v>16</v>
      </c>
      <c r="J35" t="str">
        <f>IF(Sheet1!$I35="Chennai","Home","Away")</f>
        <v>Home</v>
      </c>
    </row>
    <row r="36" spans="1:10" x14ac:dyDescent="0.3">
      <c r="A36">
        <f>YEAR(Sheet1!$B36)</f>
        <v>2010</v>
      </c>
      <c r="B36" s="1">
        <v>40260</v>
      </c>
      <c r="C36" t="s">
        <v>7</v>
      </c>
      <c r="D36" t="s">
        <v>131</v>
      </c>
      <c r="F36" t="s">
        <v>3</v>
      </c>
      <c r="G36" t="s">
        <v>11</v>
      </c>
      <c r="H36" t="s">
        <v>14</v>
      </c>
      <c r="I36" t="s">
        <v>13</v>
      </c>
      <c r="J36" t="str">
        <f>IF(Sheet1!$I36="Chennai","Home","Away")</f>
        <v>Away</v>
      </c>
    </row>
    <row r="37" spans="1:10" x14ac:dyDescent="0.3">
      <c r="A37">
        <f>YEAR(Sheet1!$B37)</f>
        <v>2010</v>
      </c>
      <c r="B37" s="1">
        <v>40262</v>
      </c>
      <c r="C37" t="s">
        <v>7</v>
      </c>
      <c r="D37" t="s">
        <v>20</v>
      </c>
      <c r="E37">
        <v>6</v>
      </c>
      <c r="F37" t="s">
        <v>7</v>
      </c>
      <c r="G37" t="s">
        <v>2</v>
      </c>
      <c r="H37" t="s">
        <v>22</v>
      </c>
      <c r="I37" t="s">
        <v>54</v>
      </c>
      <c r="J37" t="str">
        <f>IF(Sheet1!$I37="Chennai","Home","Away")</f>
        <v>Away</v>
      </c>
    </row>
    <row r="38" spans="1:10" x14ac:dyDescent="0.3">
      <c r="A38">
        <f>YEAR(Sheet1!$B38)</f>
        <v>2010</v>
      </c>
      <c r="B38" s="1">
        <v>40265</v>
      </c>
      <c r="C38" t="s">
        <v>7</v>
      </c>
      <c r="D38" t="s">
        <v>130</v>
      </c>
      <c r="F38" t="s">
        <v>7</v>
      </c>
      <c r="G38" t="s">
        <v>11</v>
      </c>
      <c r="H38" t="s">
        <v>6</v>
      </c>
      <c r="I38" t="s">
        <v>0</v>
      </c>
      <c r="J38" t="str">
        <f>IF(Sheet1!$I38="Chennai","Home","Away")</f>
        <v>Away</v>
      </c>
    </row>
    <row r="39" spans="1:10" x14ac:dyDescent="0.3">
      <c r="A39">
        <f>YEAR(Sheet1!$B39)</f>
        <v>2010</v>
      </c>
      <c r="B39" s="1">
        <v>40268</v>
      </c>
      <c r="C39" t="s">
        <v>3</v>
      </c>
      <c r="D39" t="s">
        <v>20</v>
      </c>
      <c r="E39">
        <v>6</v>
      </c>
      <c r="F39" t="s">
        <v>7</v>
      </c>
      <c r="G39" t="s">
        <v>11</v>
      </c>
      <c r="H39" t="s">
        <v>14</v>
      </c>
      <c r="I39" t="s">
        <v>16</v>
      </c>
      <c r="J39" t="str">
        <f>IF(Sheet1!$I39="Chennai","Home","Away")</f>
        <v>Home</v>
      </c>
    </row>
    <row r="40" spans="1:10" x14ac:dyDescent="0.3">
      <c r="A40">
        <f>YEAR(Sheet1!$B40)</f>
        <v>2010</v>
      </c>
      <c r="B40" s="1">
        <v>40271</v>
      </c>
      <c r="C40" t="s">
        <v>3</v>
      </c>
      <c r="D40" t="s">
        <v>61</v>
      </c>
      <c r="F40" t="s">
        <v>3</v>
      </c>
      <c r="G40" t="s">
        <v>2</v>
      </c>
      <c r="H40" t="s">
        <v>6</v>
      </c>
      <c r="I40" t="s">
        <v>16</v>
      </c>
      <c r="J40" t="str">
        <f>IF(Sheet1!$I40="Chennai","Home","Away")</f>
        <v>Home</v>
      </c>
    </row>
    <row r="41" spans="1:10" x14ac:dyDescent="0.3">
      <c r="A41">
        <f>YEAR(Sheet1!$B41)</f>
        <v>2010</v>
      </c>
      <c r="B41" s="1">
        <v>40274</v>
      </c>
      <c r="C41" t="s">
        <v>3</v>
      </c>
      <c r="D41" t="s">
        <v>88</v>
      </c>
      <c r="F41" t="s">
        <v>3</v>
      </c>
      <c r="G41" t="s">
        <v>2</v>
      </c>
      <c r="H41" t="s">
        <v>22</v>
      </c>
      <c r="I41" t="s">
        <v>16</v>
      </c>
      <c r="J41" t="str">
        <f>IF(Sheet1!$I41="Chennai","Home","Away")</f>
        <v>Home</v>
      </c>
    </row>
    <row r="42" spans="1:10" x14ac:dyDescent="0.3">
      <c r="A42">
        <f>YEAR(Sheet1!$B42)</f>
        <v>2010</v>
      </c>
      <c r="B42" s="1">
        <v>40278</v>
      </c>
      <c r="C42" t="s">
        <v>7</v>
      </c>
      <c r="D42" t="s">
        <v>8</v>
      </c>
      <c r="E42">
        <v>5</v>
      </c>
      <c r="F42" t="s">
        <v>3</v>
      </c>
      <c r="G42" t="s">
        <v>2</v>
      </c>
      <c r="H42" t="s">
        <v>112</v>
      </c>
      <c r="I42" t="s">
        <v>129</v>
      </c>
      <c r="J42" t="str">
        <f>IF(Sheet1!$I42="Chennai","Home","Away")</f>
        <v>Away</v>
      </c>
    </row>
    <row r="43" spans="1:10" x14ac:dyDescent="0.3">
      <c r="A43">
        <f>YEAR(Sheet1!$B43)</f>
        <v>2010</v>
      </c>
      <c r="B43" s="1">
        <v>40281</v>
      </c>
      <c r="C43" t="s">
        <v>3</v>
      </c>
      <c r="D43" t="s">
        <v>23</v>
      </c>
      <c r="E43">
        <v>39</v>
      </c>
      <c r="F43" t="s">
        <v>7</v>
      </c>
      <c r="G43" t="s">
        <v>11</v>
      </c>
      <c r="H43" t="s">
        <v>10</v>
      </c>
      <c r="I43" t="s">
        <v>16</v>
      </c>
      <c r="J43" t="str">
        <f>IF(Sheet1!$I43="Chennai","Home","Away")</f>
        <v>Home</v>
      </c>
    </row>
    <row r="44" spans="1:10" x14ac:dyDescent="0.3">
      <c r="A44">
        <f>YEAR(Sheet1!$B44)</f>
        <v>2010</v>
      </c>
      <c r="B44" s="1">
        <v>40283</v>
      </c>
      <c r="C44" t="s">
        <v>7</v>
      </c>
      <c r="D44" t="s">
        <v>8</v>
      </c>
      <c r="E44">
        <v>8</v>
      </c>
      <c r="F44" t="s">
        <v>3</v>
      </c>
      <c r="G44" t="s">
        <v>2</v>
      </c>
      <c r="H44" t="s">
        <v>80</v>
      </c>
      <c r="I44" t="s">
        <v>16</v>
      </c>
      <c r="J44" t="str">
        <f>IF(Sheet1!$I44="Chennai","Home","Away")</f>
        <v>Home</v>
      </c>
    </row>
    <row r="45" spans="1:10" x14ac:dyDescent="0.3">
      <c r="A45">
        <f>YEAR(Sheet1!$B45)</f>
        <v>2010</v>
      </c>
      <c r="B45" s="1">
        <v>40286</v>
      </c>
      <c r="C45" t="s">
        <v>3</v>
      </c>
      <c r="D45" t="s">
        <v>8</v>
      </c>
      <c r="E45">
        <v>2</v>
      </c>
      <c r="F45" t="s">
        <v>3</v>
      </c>
      <c r="G45" t="s">
        <v>11</v>
      </c>
      <c r="H45" t="s">
        <v>68</v>
      </c>
      <c r="I45" t="s">
        <v>36</v>
      </c>
      <c r="J45" t="str">
        <f>IF(Sheet1!$I45="Chennai","Home","Away")</f>
        <v>Away</v>
      </c>
    </row>
    <row r="46" spans="1:10" x14ac:dyDescent="0.3">
      <c r="A46">
        <f>YEAR(Sheet1!$B46)</f>
        <v>2010</v>
      </c>
      <c r="B46" s="1">
        <v>40290</v>
      </c>
      <c r="C46" t="s">
        <v>3</v>
      </c>
      <c r="D46" t="s">
        <v>111</v>
      </c>
      <c r="F46" t="s">
        <v>3</v>
      </c>
      <c r="G46" t="s">
        <v>2</v>
      </c>
      <c r="H46" t="s">
        <v>112</v>
      </c>
      <c r="I46" t="s">
        <v>55</v>
      </c>
      <c r="J46" t="str">
        <f>IF(Sheet1!$I46="Chennai","Home","Away")</f>
        <v>Away</v>
      </c>
    </row>
    <row r="47" spans="1:10" x14ac:dyDescent="0.3">
      <c r="A47">
        <f>YEAR(Sheet1!$B47)</f>
        <v>2010</v>
      </c>
      <c r="B47" s="1">
        <v>40293</v>
      </c>
      <c r="C47" t="s">
        <v>3</v>
      </c>
      <c r="D47" t="s">
        <v>79</v>
      </c>
      <c r="F47" t="s">
        <v>3</v>
      </c>
      <c r="G47" t="s">
        <v>2</v>
      </c>
      <c r="H47" t="s">
        <v>22</v>
      </c>
      <c r="I47" t="s">
        <v>55</v>
      </c>
      <c r="J47" t="str">
        <f>IF(Sheet1!$I47="Chennai","Home","Away")</f>
        <v>Away</v>
      </c>
    </row>
    <row r="48" spans="1:10" x14ac:dyDescent="0.3">
      <c r="A48">
        <f>YEAR(Sheet1!$B48)</f>
        <v>2010</v>
      </c>
      <c r="B48" s="1">
        <v>40432</v>
      </c>
      <c r="C48" t="s">
        <v>3</v>
      </c>
      <c r="D48" t="s">
        <v>128</v>
      </c>
      <c r="F48" t="s">
        <v>3</v>
      </c>
      <c r="G48" t="s">
        <v>2</v>
      </c>
      <c r="H48" t="s">
        <v>127</v>
      </c>
      <c r="I48" t="s">
        <v>105</v>
      </c>
      <c r="J48" t="str">
        <f>IF(Sheet1!$I48="Chennai","Home","Away")</f>
        <v>Away</v>
      </c>
    </row>
    <row r="49" spans="1:10" x14ac:dyDescent="0.3">
      <c r="A49">
        <f>YEAR(Sheet1!$B49)</f>
        <v>2010</v>
      </c>
      <c r="B49" s="1">
        <v>40436</v>
      </c>
      <c r="C49" t="s">
        <v>3</v>
      </c>
      <c r="D49" t="s">
        <v>89</v>
      </c>
      <c r="F49" t="s">
        <v>7</v>
      </c>
      <c r="G49" t="s">
        <v>2</v>
      </c>
      <c r="H49" t="s">
        <v>126</v>
      </c>
      <c r="I49" t="s">
        <v>125</v>
      </c>
      <c r="J49" t="str">
        <f>IF(Sheet1!$I49="Chennai","Home","Away")</f>
        <v>Away</v>
      </c>
    </row>
    <row r="50" spans="1:10" x14ac:dyDescent="0.3">
      <c r="A50">
        <f>YEAR(Sheet1!$B50)</f>
        <v>2010</v>
      </c>
      <c r="B50" s="1">
        <v>40439</v>
      </c>
      <c r="C50" t="s">
        <v>124</v>
      </c>
      <c r="D50" t="s">
        <v>46</v>
      </c>
      <c r="F50" t="s">
        <v>3</v>
      </c>
      <c r="G50" t="s">
        <v>2</v>
      </c>
      <c r="H50" t="s">
        <v>123</v>
      </c>
      <c r="I50" t="s">
        <v>122</v>
      </c>
      <c r="J50" t="str">
        <f>IF(Sheet1!$I50="Chennai","Home","Away")</f>
        <v>Away</v>
      </c>
    </row>
    <row r="51" spans="1:10" x14ac:dyDescent="0.3">
      <c r="A51">
        <f>YEAR(Sheet1!$B51)</f>
        <v>2010</v>
      </c>
      <c r="B51" s="1">
        <v>40443</v>
      </c>
      <c r="C51" t="s">
        <v>3</v>
      </c>
      <c r="D51" t="s">
        <v>71</v>
      </c>
      <c r="F51" t="s">
        <v>3</v>
      </c>
      <c r="G51" t="s">
        <v>2</v>
      </c>
      <c r="H51" t="s">
        <v>102</v>
      </c>
      <c r="I51" t="s">
        <v>122</v>
      </c>
      <c r="J51" t="str">
        <f>IF(Sheet1!$I51="Chennai","Home","Away")</f>
        <v>Away</v>
      </c>
    </row>
    <row r="52" spans="1:10" x14ac:dyDescent="0.3">
      <c r="A52">
        <f>YEAR(Sheet1!$B52)</f>
        <v>2010</v>
      </c>
      <c r="B52" s="1">
        <v>40445</v>
      </c>
      <c r="C52" t="s">
        <v>3</v>
      </c>
      <c r="D52" t="s">
        <v>121</v>
      </c>
      <c r="F52" t="s">
        <v>3</v>
      </c>
      <c r="G52" t="s">
        <v>2</v>
      </c>
      <c r="H52" t="s">
        <v>14</v>
      </c>
      <c r="I52" t="s">
        <v>105</v>
      </c>
      <c r="J52" t="str">
        <f>IF(Sheet1!$I52="Chennai","Home","Away")</f>
        <v>Away</v>
      </c>
    </row>
    <row r="53" spans="1:10" x14ac:dyDescent="0.3">
      <c r="A53">
        <f>YEAR(Sheet1!$B53)</f>
        <v>2010</v>
      </c>
      <c r="B53" s="1">
        <v>40447</v>
      </c>
      <c r="C53" t="s">
        <v>3</v>
      </c>
      <c r="D53" t="s">
        <v>26</v>
      </c>
      <c r="E53">
        <v>6</v>
      </c>
      <c r="F53" t="s">
        <v>7</v>
      </c>
      <c r="G53" t="s">
        <v>11</v>
      </c>
      <c r="H53" t="s">
        <v>102</v>
      </c>
      <c r="I53" t="s">
        <v>107</v>
      </c>
      <c r="J53" t="str">
        <f>IF(Sheet1!$I53="Chennai","Home","Away")</f>
        <v>Away</v>
      </c>
    </row>
    <row r="54" spans="1:10" x14ac:dyDescent="0.3">
      <c r="A54">
        <f>YEAR(Sheet1!$B54)</f>
        <v>2011</v>
      </c>
      <c r="B54" s="1">
        <v>40641</v>
      </c>
      <c r="C54" t="s">
        <v>3</v>
      </c>
      <c r="D54" t="s">
        <v>15</v>
      </c>
      <c r="F54" t="s">
        <v>3</v>
      </c>
      <c r="G54" t="s">
        <v>2</v>
      </c>
      <c r="H54" t="s">
        <v>10</v>
      </c>
      <c r="I54" t="s">
        <v>16</v>
      </c>
      <c r="J54" t="str">
        <f>IF(Sheet1!$I54="Chennai","Home","Away")</f>
        <v>Home</v>
      </c>
    </row>
    <row r="55" spans="1:10" x14ac:dyDescent="0.3">
      <c r="A55">
        <f>YEAR(Sheet1!$B55)</f>
        <v>2011</v>
      </c>
      <c r="B55" s="1">
        <v>40646</v>
      </c>
      <c r="C55" t="s">
        <v>7</v>
      </c>
      <c r="D55" t="s">
        <v>8</v>
      </c>
      <c r="E55">
        <v>5</v>
      </c>
      <c r="F55" t="s">
        <v>7</v>
      </c>
      <c r="G55" t="s">
        <v>2</v>
      </c>
      <c r="H55" t="s">
        <v>68</v>
      </c>
      <c r="I55" t="s">
        <v>76</v>
      </c>
      <c r="J55" t="str">
        <f>IF(Sheet1!$I55="Chennai","Home","Away")</f>
        <v>Away</v>
      </c>
    </row>
    <row r="56" spans="1:10" x14ac:dyDescent="0.3">
      <c r="A56">
        <f>YEAR(Sheet1!$B56)</f>
        <v>2011</v>
      </c>
      <c r="B56" s="1">
        <v>40649</v>
      </c>
      <c r="C56" t="s">
        <v>3</v>
      </c>
      <c r="D56" t="s">
        <v>120</v>
      </c>
      <c r="F56" t="s">
        <v>3</v>
      </c>
      <c r="G56" t="s">
        <v>2</v>
      </c>
      <c r="H56" t="s">
        <v>14</v>
      </c>
      <c r="I56" t="s">
        <v>16</v>
      </c>
      <c r="J56" t="str">
        <f>IF(Sheet1!$I56="Chennai","Home","Away")</f>
        <v>Home</v>
      </c>
    </row>
    <row r="57" spans="1:10" x14ac:dyDescent="0.3">
      <c r="A57">
        <f>YEAR(Sheet1!$B57)</f>
        <v>2011</v>
      </c>
      <c r="B57" s="1">
        <v>40651</v>
      </c>
      <c r="C57" t="s">
        <v>7</v>
      </c>
      <c r="D57" t="s">
        <v>38</v>
      </c>
      <c r="E57">
        <v>12</v>
      </c>
      <c r="F57" t="s">
        <v>7</v>
      </c>
      <c r="G57" t="s">
        <v>2</v>
      </c>
      <c r="H57" t="s">
        <v>117</v>
      </c>
      <c r="I57" t="s">
        <v>119</v>
      </c>
      <c r="J57" t="str">
        <f>IF(Sheet1!$I57="Chennai","Home","Away")</f>
        <v>Away</v>
      </c>
    </row>
    <row r="58" spans="1:10" x14ac:dyDescent="0.3">
      <c r="A58">
        <f>YEAR(Sheet1!$B58)</f>
        <v>2011</v>
      </c>
      <c r="B58" s="1">
        <v>40655</v>
      </c>
      <c r="C58" t="s">
        <v>7</v>
      </c>
      <c r="D58" t="s">
        <v>51</v>
      </c>
      <c r="F58" t="s">
        <v>3</v>
      </c>
      <c r="G58" t="s">
        <v>11</v>
      </c>
      <c r="H58" t="s">
        <v>22</v>
      </c>
      <c r="I58" t="s">
        <v>21</v>
      </c>
      <c r="J58" t="str">
        <f>IF(Sheet1!$I58="Chennai","Home","Away")</f>
        <v>Away</v>
      </c>
    </row>
    <row r="59" spans="1:10" x14ac:dyDescent="0.3">
      <c r="A59">
        <f>YEAR(Sheet1!$B59)</f>
        <v>2011</v>
      </c>
      <c r="B59" s="1">
        <v>40658</v>
      </c>
      <c r="C59" t="s">
        <v>3</v>
      </c>
      <c r="D59" t="s">
        <v>30</v>
      </c>
      <c r="F59" t="s">
        <v>7</v>
      </c>
      <c r="G59" t="s">
        <v>2</v>
      </c>
      <c r="H59" t="s">
        <v>102</v>
      </c>
      <c r="I59" t="s">
        <v>16</v>
      </c>
      <c r="J59" t="str">
        <f>IF(Sheet1!$I59="Chennai","Home","Away")</f>
        <v>Home</v>
      </c>
    </row>
    <row r="60" spans="1:10" x14ac:dyDescent="0.3">
      <c r="A60">
        <f>YEAR(Sheet1!$B60)</f>
        <v>2011</v>
      </c>
      <c r="B60" s="1">
        <v>40660</v>
      </c>
      <c r="C60" t="s">
        <v>3</v>
      </c>
      <c r="D60" t="s">
        <v>26</v>
      </c>
      <c r="E60">
        <v>3</v>
      </c>
      <c r="F60" t="s">
        <v>7</v>
      </c>
      <c r="G60" t="s">
        <v>11</v>
      </c>
      <c r="H60" t="s">
        <v>102</v>
      </c>
      <c r="I60" t="s">
        <v>55</v>
      </c>
      <c r="J60" t="str">
        <f>IF(Sheet1!$I60="Chennai","Home","Away")</f>
        <v>Away</v>
      </c>
    </row>
    <row r="61" spans="1:10" x14ac:dyDescent="0.3">
      <c r="A61">
        <f>YEAR(Sheet1!$B61)</f>
        <v>2011</v>
      </c>
      <c r="B61" s="1">
        <v>40664</v>
      </c>
      <c r="C61" t="s">
        <v>3</v>
      </c>
      <c r="D61" t="s">
        <v>118</v>
      </c>
      <c r="F61" t="s">
        <v>3</v>
      </c>
      <c r="G61" t="s">
        <v>2</v>
      </c>
      <c r="H61" t="s">
        <v>112</v>
      </c>
      <c r="I61" t="s">
        <v>16</v>
      </c>
      <c r="J61" t="str">
        <f>IF(Sheet1!$I61="Chennai","Home","Away")</f>
        <v>Home</v>
      </c>
    </row>
    <row r="62" spans="1:10" x14ac:dyDescent="0.3">
      <c r="A62">
        <f>YEAR(Sheet1!$B62)</f>
        <v>2011</v>
      </c>
      <c r="B62" s="1">
        <v>40667</v>
      </c>
      <c r="C62" t="s">
        <v>3</v>
      </c>
      <c r="D62" t="s">
        <v>26</v>
      </c>
      <c r="E62">
        <v>8</v>
      </c>
      <c r="F62" t="s">
        <v>7</v>
      </c>
      <c r="G62" t="s">
        <v>11</v>
      </c>
      <c r="H62" t="s">
        <v>6</v>
      </c>
      <c r="I62" t="s">
        <v>16</v>
      </c>
      <c r="J62" t="str">
        <f>IF(Sheet1!$I62="Chennai","Home","Away")</f>
        <v>Home</v>
      </c>
    </row>
    <row r="63" spans="1:10" x14ac:dyDescent="0.3">
      <c r="A63">
        <f>YEAR(Sheet1!$B63)</f>
        <v>2011</v>
      </c>
      <c r="B63" s="1">
        <v>40670</v>
      </c>
      <c r="C63" t="s">
        <v>7</v>
      </c>
      <c r="D63" t="s">
        <v>71</v>
      </c>
      <c r="F63" t="s">
        <v>3</v>
      </c>
      <c r="G63" t="s">
        <v>2</v>
      </c>
      <c r="H63" t="s">
        <v>10</v>
      </c>
      <c r="I63" t="s">
        <v>9</v>
      </c>
      <c r="J63" t="str">
        <f>IF(Sheet1!$I63="Chennai","Home","Away")</f>
        <v>Away</v>
      </c>
    </row>
    <row r="64" spans="1:10" x14ac:dyDescent="0.3">
      <c r="A64">
        <f>YEAR(Sheet1!$B64)</f>
        <v>2011</v>
      </c>
      <c r="B64" s="1">
        <v>40672</v>
      </c>
      <c r="C64" t="s">
        <v>3</v>
      </c>
      <c r="D64" t="s">
        <v>43</v>
      </c>
      <c r="F64" t="s">
        <v>7</v>
      </c>
      <c r="G64" t="s">
        <v>2</v>
      </c>
      <c r="H64" t="s">
        <v>6</v>
      </c>
      <c r="I64" t="s">
        <v>48</v>
      </c>
      <c r="J64" t="str">
        <f>IF(Sheet1!$I64="Chennai","Home","Away")</f>
        <v>Away</v>
      </c>
    </row>
    <row r="65" spans="1:10" x14ac:dyDescent="0.3">
      <c r="A65">
        <f>YEAR(Sheet1!$B65)</f>
        <v>2011</v>
      </c>
      <c r="B65" s="1">
        <v>40675</v>
      </c>
      <c r="C65" t="s">
        <v>3</v>
      </c>
      <c r="D65" t="s">
        <v>28</v>
      </c>
      <c r="F65" t="s">
        <v>3</v>
      </c>
      <c r="G65" t="s">
        <v>2</v>
      </c>
      <c r="H65" t="s">
        <v>80</v>
      </c>
      <c r="I65" t="s">
        <v>16</v>
      </c>
      <c r="J65" t="str">
        <f>IF(Sheet1!$I65="Chennai","Home","Away")</f>
        <v>Home</v>
      </c>
    </row>
    <row r="66" spans="1:10" x14ac:dyDescent="0.3">
      <c r="A66">
        <f>YEAR(Sheet1!$B66)</f>
        <v>2011</v>
      </c>
      <c r="B66" s="1">
        <v>40681</v>
      </c>
      <c r="C66" t="s">
        <v>3</v>
      </c>
      <c r="D66" t="s">
        <v>59</v>
      </c>
      <c r="F66" t="s">
        <v>3</v>
      </c>
      <c r="G66" t="s">
        <v>2</v>
      </c>
      <c r="H66" t="s">
        <v>117</v>
      </c>
      <c r="I66" t="s">
        <v>16</v>
      </c>
      <c r="J66" t="str">
        <f>IF(Sheet1!$I66="Chennai","Home","Away")</f>
        <v>Home</v>
      </c>
    </row>
    <row r="67" spans="1:10" x14ac:dyDescent="0.3">
      <c r="A67">
        <f>YEAR(Sheet1!$B67)</f>
        <v>2011</v>
      </c>
      <c r="B67" s="1">
        <v>40685</v>
      </c>
      <c r="C67" t="s">
        <v>7</v>
      </c>
      <c r="D67" t="s">
        <v>26</v>
      </c>
      <c r="E67">
        <v>12</v>
      </c>
      <c r="F67" t="s">
        <v>7</v>
      </c>
      <c r="G67" t="s">
        <v>2</v>
      </c>
      <c r="H67" t="s">
        <v>14</v>
      </c>
      <c r="I67" t="s">
        <v>13</v>
      </c>
      <c r="J67" t="str">
        <f>IF(Sheet1!$I67="Chennai","Home","Away")</f>
        <v>Away</v>
      </c>
    </row>
    <row r="68" spans="1:10" x14ac:dyDescent="0.3">
      <c r="A68">
        <f>YEAR(Sheet1!$B68)</f>
        <v>2011</v>
      </c>
      <c r="B68" s="1">
        <v>40687</v>
      </c>
      <c r="C68" t="s">
        <v>3</v>
      </c>
      <c r="D68" t="s">
        <v>8</v>
      </c>
      <c r="E68">
        <v>2</v>
      </c>
      <c r="F68" t="s">
        <v>3</v>
      </c>
      <c r="G68" t="s">
        <v>11</v>
      </c>
      <c r="H68" t="s">
        <v>14</v>
      </c>
      <c r="I68" t="s">
        <v>21</v>
      </c>
      <c r="J68" t="str">
        <f>IF(Sheet1!$I68="Chennai","Home","Away")</f>
        <v>Away</v>
      </c>
    </row>
    <row r="69" spans="1:10" x14ac:dyDescent="0.3">
      <c r="A69">
        <f>YEAR(Sheet1!$B69)</f>
        <v>2011</v>
      </c>
      <c r="B69" s="1">
        <v>40691</v>
      </c>
      <c r="C69" t="s">
        <v>3</v>
      </c>
      <c r="D69" t="s">
        <v>116</v>
      </c>
      <c r="F69" t="s">
        <v>3</v>
      </c>
      <c r="G69" t="s">
        <v>2</v>
      </c>
      <c r="H69" t="s">
        <v>14</v>
      </c>
      <c r="I69" t="s">
        <v>16</v>
      </c>
      <c r="J69" t="str">
        <f>IF(Sheet1!$I69="Chennai","Home","Away")</f>
        <v>Home</v>
      </c>
    </row>
    <row r="70" spans="1:10" x14ac:dyDescent="0.3">
      <c r="A70">
        <f>YEAR(Sheet1!$B70)</f>
        <v>2011</v>
      </c>
      <c r="B70" s="1">
        <v>40810</v>
      </c>
      <c r="C70" t="s">
        <v>7</v>
      </c>
      <c r="D70" t="s">
        <v>60</v>
      </c>
      <c r="E70">
        <v>1</v>
      </c>
      <c r="F70" t="s">
        <v>3</v>
      </c>
      <c r="G70" t="s">
        <v>2</v>
      </c>
      <c r="H70" t="s">
        <v>22</v>
      </c>
      <c r="I70" t="s">
        <v>16</v>
      </c>
      <c r="J70" t="str">
        <f>IF(Sheet1!$I70="Chennai","Home","Away")</f>
        <v>Home</v>
      </c>
    </row>
    <row r="71" spans="1:10" x14ac:dyDescent="0.3">
      <c r="A71">
        <f>YEAR(Sheet1!$B71)</f>
        <v>2011</v>
      </c>
      <c r="B71" s="1">
        <v>40814</v>
      </c>
      <c r="C71" t="s">
        <v>3</v>
      </c>
      <c r="D71" t="s">
        <v>18</v>
      </c>
      <c r="E71">
        <v>2</v>
      </c>
      <c r="F71" t="s">
        <v>7</v>
      </c>
      <c r="G71" t="s">
        <v>11</v>
      </c>
      <c r="H71" t="s">
        <v>115</v>
      </c>
      <c r="I71" t="s">
        <v>16</v>
      </c>
      <c r="J71" t="str">
        <f>IF(Sheet1!$I71="Chennai","Home","Away")</f>
        <v>Home</v>
      </c>
    </row>
    <row r="72" spans="1:10" x14ac:dyDescent="0.3">
      <c r="A72">
        <f>YEAR(Sheet1!$B72)</f>
        <v>2011</v>
      </c>
      <c r="B72" s="1">
        <v>40818</v>
      </c>
      <c r="C72" t="s">
        <v>7</v>
      </c>
      <c r="D72" t="s">
        <v>53</v>
      </c>
      <c r="F72" t="s">
        <v>7</v>
      </c>
      <c r="G72" t="s">
        <v>11</v>
      </c>
      <c r="H72" t="s">
        <v>96</v>
      </c>
      <c r="I72" t="s">
        <v>16</v>
      </c>
      <c r="J72" t="str">
        <f>IF(Sheet1!$I72="Chennai","Home","Away")</f>
        <v>Home</v>
      </c>
    </row>
    <row r="73" spans="1:10" x14ac:dyDescent="0.3">
      <c r="A73">
        <f>YEAR(Sheet1!$B73)</f>
        <v>2011</v>
      </c>
      <c r="B73" s="1">
        <v>40820</v>
      </c>
      <c r="C73" t="s">
        <v>7</v>
      </c>
      <c r="D73" t="s">
        <v>78</v>
      </c>
      <c r="F73" t="s">
        <v>7</v>
      </c>
      <c r="G73" t="s">
        <v>11</v>
      </c>
      <c r="H73" t="s">
        <v>114</v>
      </c>
      <c r="I73" t="s">
        <v>16</v>
      </c>
      <c r="J73" t="str">
        <f>IF(Sheet1!$I73="Chennai","Home","Away")</f>
        <v>Home</v>
      </c>
    </row>
    <row r="74" spans="1:10" x14ac:dyDescent="0.3">
      <c r="A74">
        <f>YEAR(Sheet1!$B74)</f>
        <v>2012</v>
      </c>
      <c r="B74" s="1">
        <v>41003</v>
      </c>
      <c r="C74" t="s">
        <v>7</v>
      </c>
      <c r="D74" t="s">
        <v>26</v>
      </c>
      <c r="E74">
        <v>19</v>
      </c>
      <c r="F74" t="s">
        <v>7</v>
      </c>
      <c r="G74" t="s">
        <v>2</v>
      </c>
      <c r="H74" t="s">
        <v>22</v>
      </c>
      <c r="I74" t="s">
        <v>16</v>
      </c>
      <c r="J74" t="str">
        <f>IF(Sheet1!$I74="Chennai","Home","Away")</f>
        <v>Home</v>
      </c>
    </row>
    <row r="75" spans="1:10" x14ac:dyDescent="0.3">
      <c r="A75">
        <f>YEAR(Sheet1!$B75)</f>
        <v>2012</v>
      </c>
      <c r="B75" s="1">
        <v>41006</v>
      </c>
      <c r="C75" t="s">
        <v>3</v>
      </c>
      <c r="D75" t="s">
        <v>113</v>
      </c>
      <c r="F75" t="s">
        <v>7</v>
      </c>
      <c r="G75" t="s">
        <v>2</v>
      </c>
      <c r="H75" t="s">
        <v>112</v>
      </c>
      <c r="I75" t="s">
        <v>42</v>
      </c>
      <c r="J75" t="str">
        <f>IF(Sheet1!$I75="Chennai","Home","Away")</f>
        <v>Away</v>
      </c>
    </row>
    <row r="76" spans="1:10" x14ac:dyDescent="0.3">
      <c r="A76">
        <f>YEAR(Sheet1!$B76)</f>
        <v>2012</v>
      </c>
      <c r="B76" s="1">
        <v>41009</v>
      </c>
      <c r="C76" t="s">
        <v>7</v>
      </c>
      <c r="D76" t="s">
        <v>26</v>
      </c>
      <c r="E76">
        <v>40</v>
      </c>
      <c r="F76" t="s">
        <v>7</v>
      </c>
      <c r="G76" t="s">
        <v>2</v>
      </c>
      <c r="H76" t="s">
        <v>80</v>
      </c>
      <c r="I76" t="s">
        <v>5</v>
      </c>
      <c r="J76" t="str">
        <f>IF(Sheet1!$I76="Chennai","Home","Away")</f>
        <v>Away</v>
      </c>
    </row>
    <row r="77" spans="1:10" x14ac:dyDescent="0.3">
      <c r="A77">
        <f>YEAR(Sheet1!$B77)</f>
        <v>2012</v>
      </c>
      <c r="B77" s="1">
        <v>41011</v>
      </c>
      <c r="C77" t="s">
        <v>3</v>
      </c>
      <c r="D77" t="s">
        <v>20</v>
      </c>
      <c r="E77">
        <v>0</v>
      </c>
      <c r="F77" t="s">
        <v>7</v>
      </c>
      <c r="G77" t="s">
        <v>11</v>
      </c>
      <c r="H77" t="s">
        <v>14</v>
      </c>
      <c r="I77" t="s">
        <v>16</v>
      </c>
      <c r="J77" t="str">
        <f>IF(Sheet1!$I77="Chennai","Home","Away")</f>
        <v>Home</v>
      </c>
    </row>
    <row r="78" spans="1:10" x14ac:dyDescent="0.3">
      <c r="A78">
        <f>YEAR(Sheet1!$B78)</f>
        <v>2012</v>
      </c>
      <c r="B78" s="1">
        <v>41013</v>
      </c>
      <c r="C78" t="s">
        <v>7</v>
      </c>
      <c r="D78" t="s">
        <v>38</v>
      </c>
      <c r="E78">
        <v>4</v>
      </c>
      <c r="F78" t="s">
        <v>3</v>
      </c>
      <c r="G78" t="s">
        <v>2</v>
      </c>
      <c r="H78" t="s">
        <v>102</v>
      </c>
      <c r="I78" t="s">
        <v>57</v>
      </c>
      <c r="J78" t="str">
        <f>IF(Sheet1!$I78="Chennai","Home","Away")</f>
        <v>Away</v>
      </c>
    </row>
    <row r="79" spans="1:10" x14ac:dyDescent="0.3">
      <c r="A79">
        <f>YEAR(Sheet1!$B79)</f>
        <v>2012</v>
      </c>
      <c r="B79" s="1">
        <v>41018</v>
      </c>
      <c r="C79" t="s">
        <v>3</v>
      </c>
      <c r="D79" t="s">
        <v>58</v>
      </c>
      <c r="F79" t="s">
        <v>7</v>
      </c>
      <c r="G79" t="s">
        <v>2</v>
      </c>
      <c r="H79" t="s">
        <v>102</v>
      </c>
      <c r="I79" t="s">
        <v>16</v>
      </c>
      <c r="J79" t="str">
        <f>IF(Sheet1!$I79="Chennai","Home","Away")</f>
        <v>Home</v>
      </c>
    </row>
    <row r="80" spans="1:10" x14ac:dyDescent="0.3">
      <c r="A80">
        <f>YEAR(Sheet1!$B80)</f>
        <v>2012</v>
      </c>
      <c r="B80" s="1">
        <v>41020</v>
      </c>
      <c r="C80" t="s">
        <v>3</v>
      </c>
      <c r="D80" t="s">
        <v>38</v>
      </c>
      <c r="E80">
        <v>0</v>
      </c>
      <c r="F80" t="s">
        <v>7</v>
      </c>
      <c r="G80" t="s">
        <v>11</v>
      </c>
      <c r="H80" t="s">
        <v>6</v>
      </c>
      <c r="I80" t="s">
        <v>16</v>
      </c>
      <c r="J80" t="str">
        <f>IF(Sheet1!$I80="Chennai","Home","Away")</f>
        <v>Home</v>
      </c>
    </row>
    <row r="81" spans="1:10" x14ac:dyDescent="0.3">
      <c r="A81">
        <f>YEAR(Sheet1!$B81)</f>
        <v>2012</v>
      </c>
      <c r="B81" s="1">
        <v>41024</v>
      </c>
      <c r="C81" t="s">
        <v>47</v>
      </c>
      <c r="D81" t="s">
        <v>46</v>
      </c>
      <c r="F81" t="s">
        <v>7</v>
      </c>
      <c r="G81" t="s">
        <v>46</v>
      </c>
      <c r="H81" t="s">
        <v>14</v>
      </c>
      <c r="I81" t="s">
        <v>13</v>
      </c>
      <c r="J81" t="str">
        <f>IF(Sheet1!$I81="Chennai","Home","Away")</f>
        <v>Away</v>
      </c>
    </row>
    <row r="82" spans="1:10" x14ac:dyDescent="0.3">
      <c r="A82">
        <f>YEAR(Sheet1!$B82)</f>
        <v>2012</v>
      </c>
      <c r="B82" s="1">
        <v>41027</v>
      </c>
      <c r="C82" t="s">
        <v>7</v>
      </c>
      <c r="D82" t="s">
        <v>72</v>
      </c>
      <c r="F82" t="s">
        <v>7</v>
      </c>
      <c r="G82" t="s">
        <v>11</v>
      </c>
      <c r="H82" t="s">
        <v>68</v>
      </c>
      <c r="I82" t="s">
        <v>16</v>
      </c>
      <c r="J82" t="str">
        <f>IF(Sheet1!$I82="Chennai","Home","Away")</f>
        <v>Home</v>
      </c>
    </row>
    <row r="83" spans="1:10" x14ac:dyDescent="0.3">
      <c r="A83">
        <f>YEAR(Sheet1!$B83)</f>
        <v>2012</v>
      </c>
      <c r="B83" s="1">
        <v>41029</v>
      </c>
      <c r="C83" t="s">
        <v>7</v>
      </c>
      <c r="D83" t="s">
        <v>20</v>
      </c>
      <c r="E83">
        <v>2</v>
      </c>
      <c r="F83" t="s">
        <v>3</v>
      </c>
      <c r="G83" t="s">
        <v>2</v>
      </c>
      <c r="H83" t="s">
        <v>10</v>
      </c>
      <c r="I83" t="s">
        <v>16</v>
      </c>
      <c r="J83" t="str">
        <f>IF(Sheet1!$I83="Chennai","Home","Away")</f>
        <v>Home</v>
      </c>
    </row>
    <row r="84" spans="1:10" x14ac:dyDescent="0.3">
      <c r="A84">
        <f>YEAR(Sheet1!$B84)</f>
        <v>2012</v>
      </c>
      <c r="B84" s="1">
        <v>41033</v>
      </c>
      <c r="C84" t="s">
        <v>3</v>
      </c>
      <c r="D84" t="s">
        <v>71</v>
      </c>
      <c r="F84" t="s">
        <v>3</v>
      </c>
      <c r="G84" t="s">
        <v>2</v>
      </c>
      <c r="H84" t="s">
        <v>112</v>
      </c>
      <c r="I84" t="s">
        <v>16</v>
      </c>
      <c r="J84" t="str">
        <f>IF(Sheet1!$I84="Chennai","Home","Away")</f>
        <v>Home</v>
      </c>
    </row>
    <row r="85" spans="1:10" x14ac:dyDescent="0.3">
      <c r="A85">
        <f>YEAR(Sheet1!$B85)</f>
        <v>2012</v>
      </c>
      <c r="B85" s="1">
        <v>41035</v>
      </c>
      <c r="C85" t="s">
        <v>7</v>
      </c>
      <c r="D85" t="s">
        <v>12</v>
      </c>
      <c r="E85">
        <v>0</v>
      </c>
      <c r="F85" t="s">
        <v>7</v>
      </c>
      <c r="G85" t="s">
        <v>2</v>
      </c>
      <c r="H85" t="s">
        <v>22</v>
      </c>
      <c r="I85" t="s">
        <v>21</v>
      </c>
      <c r="J85" t="str">
        <f>IF(Sheet1!$I85="Chennai","Home","Away")</f>
        <v>Away</v>
      </c>
    </row>
    <row r="86" spans="1:10" x14ac:dyDescent="0.3">
      <c r="A86">
        <f>YEAR(Sheet1!$B86)</f>
        <v>2012</v>
      </c>
      <c r="B86" s="1">
        <v>41039</v>
      </c>
      <c r="C86" t="s">
        <v>3</v>
      </c>
      <c r="D86" t="s">
        <v>18</v>
      </c>
      <c r="E86">
        <v>11</v>
      </c>
      <c r="F86" t="s">
        <v>3</v>
      </c>
      <c r="G86" t="s">
        <v>11</v>
      </c>
      <c r="H86" t="s">
        <v>6</v>
      </c>
      <c r="I86" t="s">
        <v>48</v>
      </c>
      <c r="J86" t="str">
        <f>IF(Sheet1!$I86="Chennai","Home","Away")</f>
        <v>Away</v>
      </c>
    </row>
    <row r="87" spans="1:10" x14ac:dyDescent="0.3">
      <c r="A87">
        <f>YEAR(Sheet1!$B87)</f>
        <v>2012</v>
      </c>
      <c r="B87" s="1">
        <v>41041</v>
      </c>
      <c r="C87" t="s">
        <v>3</v>
      </c>
      <c r="D87" t="s">
        <v>23</v>
      </c>
      <c r="E87">
        <v>28</v>
      </c>
      <c r="F87" t="s">
        <v>3</v>
      </c>
      <c r="G87" t="s">
        <v>11</v>
      </c>
      <c r="H87" t="s">
        <v>80</v>
      </c>
      <c r="I87" t="s">
        <v>16</v>
      </c>
      <c r="J87" t="str">
        <f>IF(Sheet1!$I87="Chennai","Home","Away")</f>
        <v>Home</v>
      </c>
    </row>
    <row r="88" spans="1:10" x14ac:dyDescent="0.3">
      <c r="A88">
        <f>YEAR(Sheet1!$B88)</f>
        <v>2012</v>
      </c>
      <c r="B88" s="1">
        <v>41043</v>
      </c>
      <c r="C88" t="s">
        <v>3</v>
      </c>
      <c r="D88" t="s">
        <v>20</v>
      </c>
      <c r="E88">
        <v>0</v>
      </c>
      <c r="F88" t="s">
        <v>3</v>
      </c>
      <c r="G88" t="s">
        <v>11</v>
      </c>
      <c r="H88" t="s">
        <v>10</v>
      </c>
      <c r="I88" t="s">
        <v>9</v>
      </c>
      <c r="J88" t="str">
        <f>IF(Sheet1!$I88="Chennai","Home","Away")</f>
        <v>Away</v>
      </c>
    </row>
    <row r="89" spans="1:10" x14ac:dyDescent="0.3">
      <c r="A89">
        <f>YEAR(Sheet1!$B89)</f>
        <v>2012</v>
      </c>
      <c r="B89" s="1">
        <v>41046</v>
      </c>
      <c r="C89" t="s">
        <v>7</v>
      </c>
      <c r="D89" t="s">
        <v>8</v>
      </c>
      <c r="E89">
        <v>21</v>
      </c>
      <c r="F89" t="s">
        <v>7</v>
      </c>
      <c r="G89" t="s">
        <v>2</v>
      </c>
      <c r="H89" t="s">
        <v>68</v>
      </c>
      <c r="I89" t="s">
        <v>36</v>
      </c>
      <c r="J89" t="str">
        <f>IF(Sheet1!$I89="Chennai","Home","Away")</f>
        <v>Away</v>
      </c>
    </row>
    <row r="90" spans="1:10" x14ac:dyDescent="0.3">
      <c r="A90">
        <f>YEAR(Sheet1!$B90)</f>
        <v>2012</v>
      </c>
      <c r="B90" s="1">
        <v>41052</v>
      </c>
      <c r="C90" t="s">
        <v>3</v>
      </c>
      <c r="D90" t="s">
        <v>111</v>
      </c>
      <c r="F90" t="s">
        <v>7</v>
      </c>
      <c r="G90" t="s">
        <v>2</v>
      </c>
      <c r="H90" t="s">
        <v>22</v>
      </c>
      <c r="I90" t="s">
        <v>13</v>
      </c>
      <c r="J90" t="str">
        <f>IF(Sheet1!$I90="Chennai","Home","Away")</f>
        <v>Away</v>
      </c>
    </row>
    <row r="91" spans="1:10" x14ac:dyDescent="0.3">
      <c r="A91">
        <f>YEAR(Sheet1!$B91)</f>
        <v>2012</v>
      </c>
      <c r="B91" s="1">
        <v>41054</v>
      </c>
      <c r="C91" t="s">
        <v>3</v>
      </c>
      <c r="D91" t="s">
        <v>103</v>
      </c>
      <c r="F91" t="s">
        <v>7</v>
      </c>
      <c r="G91" t="s">
        <v>2</v>
      </c>
      <c r="H91" t="s">
        <v>80</v>
      </c>
      <c r="I91" t="s">
        <v>16</v>
      </c>
      <c r="J91" t="str">
        <f>IF(Sheet1!$I91="Chennai","Home","Away")</f>
        <v>Home</v>
      </c>
    </row>
    <row r="92" spans="1:10" x14ac:dyDescent="0.3">
      <c r="A92">
        <f>YEAR(Sheet1!$B92)</f>
        <v>2012</v>
      </c>
      <c r="B92" s="1">
        <v>41056</v>
      </c>
      <c r="C92" t="s">
        <v>7</v>
      </c>
      <c r="D92" t="s">
        <v>20</v>
      </c>
      <c r="E92">
        <v>2</v>
      </c>
      <c r="F92" t="s">
        <v>3</v>
      </c>
      <c r="G92" t="s">
        <v>2</v>
      </c>
      <c r="H92" t="s">
        <v>10</v>
      </c>
      <c r="I92" t="s">
        <v>16</v>
      </c>
      <c r="J92" t="str">
        <f>IF(Sheet1!$I92="Chennai","Home","Away")</f>
        <v>Home</v>
      </c>
    </row>
    <row r="93" spans="1:10" x14ac:dyDescent="0.3">
      <c r="A93">
        <f>YEAR(Sheet1!$B93)</f>
        <v>2012</v>
      </c>
      <c r="B93" s="1">
        <v>41196</v>
      </c>
      <c r="C93" t="s">
        <v>7</v>
      </c>
      <c r="D93" t="s">
        <v>95</v>
      </c>
      <c r="F93" t="s">
        <v>3</v>
      </c>
      <c r="G93" t="s">
        <v>11</v>
      </c>
      <c r="H93" t="s">
        <v>110</v>
      </c>
      <c r="I93" t="s">
        <v>107</v>
      </c>
      <c r="J93" t="str">
        <f>IF(Sheet1!$I93="Chennai","Home","Away")</f>
        <v>Away</v>
      </c>
    </row>
    <row r="94" spans="1:10" x14ac:dyDescent="0.3">
      <c r="A94">
        <f>YEAR(Sheet1!$B94)</f>
        <v>2012</v>
      </c>
      <c r="B94" s="1">
        <v>41198</v>
      </c>
      <c r="C94" t="s">
        <v>7</v>
      </c>
      <c r="D94" t="s">
        <v>8</v>
      </c>
      <c r="E94">
        <v>3</v>
      </c>
      <c r="F94" t="s">
        <v>7</v>
      </c>
      <c r="G94" t="s">
        <v>2</v>
      </c>
      <c r="H94" t="s">
        <v>109</v>
      </c>
      <c r="I94" t="s">
        <v>108</v>
      </c>
      <c r="J94" t="str">
        <f>IF(Sheet1!$I94="Chennai","Home","Away")</f>
        <v>Away</v>
      </c>
    </row>
    <row r="95" spans="1:10" x14ac:dyDescent="0.3">
      <c r="A95">
        <f>YEAR(Sheet1!$B95)</f>
        <v>2012</v>
      </c>
      <c r="B95" s="1">
        <v>41202</v>
      </c>
      <c r="C95" t="s">
        <v>3</v>
      </c>
      <c r="D95" t="s">
        <v>32</v>
      </c>
      <c r="F95" t="s">
        <v>7</v>
      </c>
      <c r="G95" t="s">
        <v>2</v>
      </c>
      <c r="H95" t="s">
        <v>22</v>
      </c>
      <c r="I95" t="s">
        <v>107</v>
      </c>
      <c r="J95" t="str">
        <f>IF(Sheet1!$I95="Chennai","Home","Away")</f>
        <v>Away</v>
      </c>
    </row>
    <row r="96" spans="1:10" x14ac:dyDescent="0.3">
      <c r="A96">
        <f>YEAR(Sheet1!$B96)</f>
        <v>2012</v>
      </c>
      <c r="B96" s="1">
        <v>41204</v>
      </c>
      <c r="C96" t="s">
        <v>3</v>
      </c>
      <c r="D96" t="s">
        <v>18</v>
      </c>
      <c r="E96">
        <v>6</v>
      </c>
      <c r="F96" t="s">
        <v>3</v>
      </c>
      <c r="G96" t="s">
        <v>11</v>
      </c>
      <c r="H96" t="s">
        <v>106</v>
      </c>
      <c r="I96" t="s">
        <v>105</v>
      </c>
      <c r="J96" t="str">
        <f>IF(Sheet1!$I96="Chennai","Home","Away")</f>
        <v>Away</v>
      </c>
    </row>
    <row r="97" spans="1:10" x14ac:dyDescent="0.3">
      <c r="A97">
        <f>YEAR(Sheet1!$B97)</f>
        <v>2013</v>
      </c>
      <c r="B97" s="1">
        <v>41370</v>
      </c>
      <c r="C97" t="s">
        <v>7</v>
      </c>
      <c r="D97" t="s">
        <v>104</v>
      </c>
      <c r="F97" t="s">
        <v>7</v>
      </c>
      <c r="G97" t="s">
        <v>11</v>
      </c>
      <c r="H97" t="s">
        <v>22</v>
      </c>
      <c r="I97" t="s">
        <v>16</v>
      </c>
      <c r="J97" t="str">
        <f>IF(Sheet1!$I97="Chennai","Home","Away")</f>
        <v>Home</v>
      </c>
    </row>
    <row r="98" spans="1:10" x14ac:dyDescent="0.3">
      <c r="A98">
        <f>YEAR(Sheet1!$B98)</f>
        <v>2013</v>
      </c>
      <c r="B98" s="1">
        <v>41374</v>
      </c>
      <c r="C98" t="s">
        <v>3</v>
      </c>
      <c r="D98" t="s">
        <v>69</v>
      </c>
      <c r="E98">
        <v>16</v>
      </c>
      <c r="F98" t="s">
        <v>3</v>
      </c>
      <c r="G98" t="s">
        <v>11</v>
      </c>
      <c r="H98" t="s">
        <v>68</v>
      </c>
      <c r="I98" t="s">
        <v>76</v>
      </c>
      <c r="J98" t="str">
        <f>IF(Sheet1!$I98="Chennai","Home","Away")</f>
        <v>Away</v>
      </c>
    </row>
    <row r="99" spans="1:10" x14ac:dyDescent="0.3">
      <c r="A99">
        <f>YEAR(Sheet1!$B99)</f>
        <v>2013</v>
      </c>
      <c r="B99" s="1">
        <v>41377</v>
      </c>
      <c r="C99" t="s">
        <v>3</v>
      </c>
      <c r="D99" t="s">
        <v>18</v>
      </c>
      <c r="E99">
        <v>1</v>
      </c>
      <c r="F99" t="s">
        <v>3</v>
      </c>
      <c r="G99" t="s">
        <v>11</v>
      </c>
      <c r="H99" t="s">
        <v>14</v>
      </c>
      <c r="I99" t="s">
        <v>16</v>
      </c>
      <c r="J99" t="str">
        <f>IF(Sheet1!$I99="Chennai","Home","Away")</f>
        <v>Home</v>
      </c>
    </row>
    <row r="100" spans="1:10" x14ac:dyDescent="0.3">
      <c r="A100">
        <f>YEAR(Sheet1!$B100)</f>
        <v>2013</v>
      </c>
      <c r="B100" s="1">
        <v>41379</v>
      </c>
      <c r="C100" t="s">
        <v>7</v>
      </c>
      <c r="D100" t="s">
        <v>88</v>
      </c>
      <c r="F100" t="s">
        <v>7</v>
      </c>
      <c r="G100" t="s">
        <v>11</v>
      </c>
      <c r="H100" t="s">
        <v>102</v>
      </c>
      <c r="I100" t="s">
        <v>16</v>
      </c>
      <c r="J100" t="str">
        <f>IF(Sheet1!$I100="Chennai","Home","Away")</f>
        <v>Home</v>
      </c>
    </row>
    <row r="101" spans="1:10" x14ac:dyDescent="0.3">
      <c r="A101">
        <f>YEAR(Sheet1!$B101)</f>
        <v>2013</v>
      </c>
      <c r="B101" s="1">
        <v>41382</v>
      </c>
      <c r="C101" t="s">
        <v>3</v>
      </c>
      <c r="D101" t="s">
        <v>103</v>
      </c>
      <c r="F101" t="s">
        <v>3</v>
      </c>
      <c r="G101" t="s">
        <v>2</v>
      </c>
      <c r="H101" t="s">
        <v>80</v>
      </c>
      <c r="I101" t="s">
        <v>5</v>
      </c>
      <c r="J101" t="str">
        <f>IF(Sheet1!$I101="Chennai","Home","Away")</f>
        <v>Away</v>
      </c>
    </row>
    <row r="102" spans="1:10" x14ac:dyDescent="0.3">
      <c r="A102">
        <f>YEAR(Sheet1!$B102)</f>
        <v>2013</v>
      </c>
      <c r="B102" s="1">
        <v>41384</v>
      </c>
      <c r="C102" t="s">
        <v>3</v>
      </c>
      <c r="D102" t="s">
        <v>18</v>
      </c>
      <c r="E102">
        <v>5</v>
      </c>
      <c r="F102" t="s">
        <v>7</v>
      </c>
      <c r="G102" t="s">
        <v>11</v>
      </c>
      <c r="H102" t="s">
        <v>10</v>
      </c>
      <c r="I102" t="s">
        <v>9</v>
      </c>
      <c r="J102" t="str">
        <f>IF(Sheet1!$I102="Chennai","Home","Away")</f>
        <v>Away</v>
      </c>
    </row>
    <row r="103" spans="1:10" x14ac:dyDescent="0.3">
      <c r="A103">
        <f>YEAR(Sheet1!$B103)</f>
        <v>2013</v>
      </c>
      <c r="B103" s="1">
        <v>41386</v>
      </c>
      <c r="C103" t="s">
        <v>3</v>
      </c>
      <c r="D103" t="s">
        <v>20</v>
      </c>
      <c r="E103">
        <v>1</v>
      </c>
      <c r="F103" t="s">
        <v>7</v>
      </c>
      <c r="G103" t="s">
        <v>11</v>
      </c>
      <c r="H103" t="s">
        <v>6</v>
      </c>
      <c r="I103" t="s">
        <v>16</v>
      </c>
      <c r="J103" t="str">
        <f>IF(Sheet1!$I103="Chennai","Home","Away")</f>
        <v>Home</v>
      </c>
    </row>
    <row r="104" spans="1:10" x14ac:dyDescent="0.3">
      <c r="A104">
        <f>YEAR(Sheet1!$B104)</f>
        <v>2013</v>
      </c>
      <c r="B104" s="1">
        <v>41389</v>
      </c>
      <c r="C104" t="s">
        <v>3</v>
      </c>
      <c r="D104" t="s">
        <v>20</v>
      </c>
      <c r="E104">
        <v>2</v>
      </c>
      <c r="F104" t="s">
        <v>7</v>
      </c>
      <c r="G104" t="s">
        <v>11</v>
      </c>
      <c r="H104" t="s">
        <v>19</v>
      </c>
      <c r="I104" t="s">
        <v>16</v>
      </c>
      <c r="J104" t="str">
        <f>IF(Sheet1!$I104="Chennai","Home","Away")</f>
        <v>Home</v>
      </c>
    </row>
    <row r="105" spans="1:10" x14ac:dyDescent="0.3">
      <c r="A105">
        <f>YEAR(Sheet1!$B105)</f>
        <v>2013</v>
      </c>
      <c r="B105" s="1">
        <v>41392</v>
      </c>
      <c r="C105" t="s">
        <v>3</v>
      </c>
      <c r="D105" t="s">
        <v>95</v>
      </c>
      <c r="F105" t="s">
        <v>7</v>
      </c>
      <c r="G105" t="s">
        <v>2</v>
      </c>
      <c r="H105" t="s">
        <v>10</v>
      </c>
      <c r="I105" t="s">
        <v>16</v>
      </c>
      <c r="J105" t="str">
        <f>IF(Sheet1!$I105="Chennai","Home","Away")</f>
        <v>Home</v>
      </c>
    </row>
    <row r="106" spans="1:10" x14ac:dyDescent="0.3">
      <c r="A106">
        <f>YEAR(Sheet1!$B106)</f>
        <v>2013</v>
      </c>
      <c r="B106" s="1">
        <v>41394</v>
      </c>
      <c r="C106" t="s">
        <v>3</v>
      </c>
      <c r="D106" t="s">
        <v>70</v>
      </c>
      <c r="F106" t="s">
        <v>3</v>
      </c>
      <c r="G106" t="s">
        <v>2</v>
      </c>
      <c r="H106" t="s">
        <v>102</v>
      </c>
      <c r="I106" t="s">
        <v>57</v>
      </c>
      <c r="J106" t="str">
        <f>IF(Sheet1!$I106="Chennai","Home","Away")</f>
        <v>Away</v>
      </c>
    </row>
    <row r="107" spans="1:10" x14ac:dyDescent="0.3">
      <c r="A107">
        <f>YEAR(Sheet1!$B107)</f>
        <v>2013</v>
      </c>
      <c r="B107" s="1">
        <v>41396</v>
      </c>
      <c r="C107" t="s">
        <v>3</v>
      </c>
      <c r="D107" t="s">
        <v>44</v>
      </c>
      <c r="F107" t="s">
        <v>3</v>
      </c>
      <c r="G107" t="s">
        <v>2</v>
      </c>
      <c r="H107" t="s">
        <v>68</v>
      </c>
      <c r="I107" t="s">
        <v>16</v>
      </c>
      <c r="J107" t="str">
        <f>IF(Sheet1!$I107="Chennai","Home","Away")</f>
        <v>Home</v>
      </c>
    </row>
    <row r="108" spans="1:10" x14ac:dyDescent="0.3">
      <c r="A108">
        <f>YEAR(Sheet1!$B108)</f>
        <v>2013</v>
      </c>
      <c r="B108" s="1">
        <v>41399</v>
      </c>
      <c r="C108" t="s">
        <v>7</v>
      </c>
      <c r="D108" t="s">
        <v>101</v>
      </c>
      <c r="F108" t="s">
        <v>7</v>
      </c>
      <c r="G108" t="s">
        <v>11</v>
      </c>
      <c r="H108" t="s">
        <v>22</v>
      </c>
      <c r="I108" t="s">
        <v>21</v>
      </c>
      <c r="J108" t="str">
        <f>IF(Sheet1!$I108="Chennai","Home","Away")</f>
        <v>Away</v>
      </c>
    </row>
    <row r="109" spans="1:10" x14ac:dyDescent="0.3">
      <c r="A109">
        <f>YEAR(Sheet1!$B109)</f>
        <v>2013</v>
      </c>
      <c r="B109" s="1">
        <v>41402</v>
      </c>
      <c r="C109" t="s">
        <v>3</v>
      </c>
      <c r="D109" t="s">
        <v>45</v>
      </c>
      <c r="F109" t="s">
        <v>7</v>
      </c>
      <c r="G109" t="s">
        <v>2</v>
      </c>
      <c r="H109" t="s">
        <v>19</v>
      </c>
      <c r="I109" t="s">
        <v>41</v>
      </c>
      <c r="J109" t="str">
        <f>IF(Sheet1!$I109="Chennai","Home","Away")</f>
        <v>Away</v>
      </c>
    </row>
    <row r="110" spans="1:10" x14ac:dyDescent="0.3">
      <c r="A110">
        <f>YEAR(Sheet1!$B110)</f>
        <v>2013</v>
      </c>
      <c r="B110" s="1">
        <v>41406</v>
      </c>
      <c r="C110" t="s">
        <v>7</v>
      </c>
      <c r="D110" t="s">
        <v>20</v>
      </c>
      <c r="E110">
        <v>17</v>
      </c>
      <c r="F110" t="s">
        <v>7</v>
      </c>
      <c r="G110" t="s">
        <v>2</v>
      </c>
      <c r="H110" t="s">
        <v>6</v>
      </c>
      <c r="I110" t="s">
        <v>48</v>
      </c>
      <c r="J110" t="str">
        <f>IF(Sheet1!$I110="Chennai","Home","Away")</f>
        <v>Away</v>
      </c>
    </row>
    <row r="111" spans="1:10" x14ac:dyDescent="0.3">
      <c r="A111">
        <f>YEAR(Sheet1!$B111)</f>
        <v>2013</v>
      </c>
      <c r="B111" s="1">
        <v>41408</v>
      </c>
      <c r="C111" t="s">
        <v>3</v>
      </c>
      <c r="D111" t="s">
        <v>100</v>
      </c>
      <c r="F111" t="s">
        <v>3</v>
      </c>
      <c r="G111" t="s">
        <v>2</v>
      </c>
      <c r="H111" t="s">
        <v>80</v>
      </c>
      <c r="I111" t="s">
        <v>16</v>
      </c>
      <c r="J111" t="str">
        <f>IF(Sheet1!$I111="Chennai","Home","Away")</f>
        <v>Home</v>
      </c>
    </row>
    <row r="112" spans="1:10" x14ac:dyDescent="0.3">
      <c r="A112">
        <f>YEAR(Sheet1!$B112)</f>
        <v>2013</v>
      </c>
      <c r="B112" s="1">
        <v>41412</v>
      </c>
      <c r="C112" t="s">
        <v>7</v>
      </c>
      <c r="D112" t="s">
        <v>88</v>
      </c>
      <c r="F112" t="s">
        <v>3</v>
      </c>
      <c r="G112" t="s">
        <v>11</v>
      </c>
      <c r="H112" t="s">
        <v>14</v>
      </c>
      <c r="I112" t="s">
        <v>13</v>
      </c>
      <c r="J112" t="str">
        <f>IF(Sheet1!$I112="Chennai","Home","Away")</f>
        <v>Away</v>
      </c>
    </row>
    <row r="113" spans="1:10" x14ac:dyDescent="0.3">
      <c r="A113">
        <f>YEAR(Sheet1!$B113)</f>
        <v>2013</v>
      </c>
      <c r="B113" s="1">
        <v>41415</v>
      </c>
      <c r="C113" t="s">
        <v>3</v>
      </c>
      <c r="D113" t="s">
        <v>99</v>
      </c>
      <c r="F113" t="s">
        <v>3</v>
      </c>
      <c r="G113" t="s">
        <v>2</v>
      </c>
      <c r="H113" t="s">
        <v>22</v>
      </c>
      <c r="I113" t="s">
        <v>5</v>
      </c>
      <c r="J113" t="str">
        <f>IF(Sheet1!$I113="Chennai","Home","Away")</f>
        <v>Away</v>
      </c>
    </row>
    <row r="114" spans="1:10" x14ac:dyDescent="0.3">
      <c r="A114">
        <f>YEAR(Sheet1!$B114)</f>
        <v>2013</v>
      </c>
      <c r="B114" s="1">
        <v>41420</v>
      </c>
      <c r="C114" t="s">
        <v>7</v>
      </c>
      <c r="D114" t="s">
        <v>61</v>
      </c>
      <c r="F114" t="s">
        <v>7</v>
      </c>
      <c r="G114" t="s">
        <v>11</v>
      </c>
      <c r="H114" t="s">
        <v>22</v>
      </c>
      <c r="I114" t="s">
        <v>9</v>
      </c>
      <c r="J114" t="str">
        <f>IF(Sheet1!$I114="Chennai","Home","Away")</f>
        <v>Away</v>
      </c>
    </row>
    <row r="115" spans="1:10" x14ac:dyDescent="0.3">
      <c r="A115">
        <f>YEAR(Sheet1!$B115)</f>
        <v>2013</v>
      </c>
      <c r="B115" s="1">
        <v>41539</v>
      </c>
      <c r="C115" t="s">
        <v>3</v>
      </c>
      <c r="D115" t="s">
        <v>18</v>
      </c>
      <c r="E115">
        <v>7</v>
      </c>
      <c r="F115" t="s">
        <v>3</v>
      </c>
      <c r="G115" t="s">
        <v>11</v>
      </c>
      <c r="H115" t="s">
        <v>98</v>
      </c>
      <c r="I115" t="s">
        <v>86</v>
      </c>
      <c r="J115" t="str">
        <f>IF(Sheet1!$I115="Chennai","Home","Away")</f>
        <v>Away</v>
      </c>
    </row>
    <row r="116" spans="1:10" x14ac:dyDescent="0.3">
      <c r="A116">
        <f>YEAR(Sheet1!$B116)</f>
        <v>2013</v>
      </c>
      <c r="B116" s="1">
        <v>41543</v>
      </c>
      <c r="C116" t="s">
        <v>3</v>
      </c>
      <c r="D116" t="s">
        <v>53</v>
      </c>
      <c r="F116" t="s">
        <v>7</v>
      </c>
      <c r="G116" t="s">
        <v>2</v>
      </c>
      <c r="H116" t="s">
        <v>19</v>
      </c>
      <c r="I116" t="s">
        <v>86</v>
      </c>
      <c r="J116" t="str">
        <f>IF(Sheet1!$I116="Chennai","Home","Away")</f>
        <v>Away</v>
      </c>
    </row>
    <row r="117" spans="1:10" x14ac:dyDescent="0.3">
      <c r="A117">
        <f>YEAR(Sheet1!$B117)</f>
        <v>2013</v>
      </c>
      <c r="B117" s="1">
        <v>41545</v>
      </c>
      <c r="C117" t="s">
        <v>3</v>
      </c>
      <c r="D117" t="s">
        <v>26</v>
      </c>
      <c r="E117">
        <v>25</v>
      </c>
      <c r="F117" t="s">
        <v>3</v>
      </c>
      <c r="G117" t="s">
        <v>11</v>
      </c>
      <c r="H117" t="s">
        <v>97</v>
      </c>
      <c r="I117" t="s">
        <v>86</v>
      </c>
      <c r="J117" t="str">
        <f>IF(Sheet1!$I117="Chennai","Home","Away")</f>
        <v>Away</v>
      </c>
    </row>
    <row r="118" spans="1:10" x14ac:dyDescent="0.3">
      <c r="A118">
        <f>YEAR(Sheet1!$B118)</f>
        <v>2013</v>
      </c>
      <c r="B118" s="1">
        <v>41549</v>
      </c>
      <c r="C118" t="s">
        <v>7</v>
      </c>
      <c r="D118" t="s">
        <v>26</v>
      </c>
      <c r="E118">
        <v>29</v>
      </c>
      <c r="F118" t="s">
        <v>7</v>
      </c>
      <c r="G118" t="s">
        <v>2</v>
      </c>
      <c r="H118" t="s">
        <v>96</v>
      </c>
      <c r="I118" t="s">
        <v>5</v>
      </c>
      <c r="J118" t="str">
        <f>IF(Sheet1!$I118="Chennai","Home","Away")</f>
        <v>Away</v>
      </c>
    </row>
    <row r="119" spans="1:10" x14ac:dyDescent="0.3">
      <c r="A119">
        <f>YEAR(Sheet1!$B119)</f>
        <v>2013</v>
      </c>
      <c r="B119" s="1">
        <v>41551</v>
      </c>
      <c r="C119" t="s">
        <v>7</v>
      </c>
      <c r="D119" t="s">
        <v>95</v>
      </c>
      <c r="F119" t="s">
        <v>3</v>
      </c>
      <c r="G119" t="s">
        <v>11</v>
      </c>
      <c r="H119" t="s">
        <v>6</v>
      </c>
      <c r="I119" t="s">
        <v>48</v>
      </c>
      <c r="J119" t="str">
        <f>IF(Sheet1!$I119="Chennai","Home","Away")</f>
        <v>Away</v>
      </c>
    </row>
    <row r="120" spans="1:10" x14ac:dyDescent="0.3">
      <c r="A120">
        <f>YEAR(Sheet1!$B120)</f>
        <v>2014</v>
      </c>
      <c r="B120" s="1">
        <v>41747</v>
      </c>
      <c r="C120" t="s">
        <v>7</v>
      </c>
      <c r="D120" t="s">
        <v>8</v>
      </c>
      <c r="E120">
        <v>7</v>
      </c>
      <c r="F120" t="s">
        <v>3</v>
      </c>
      <c r="G120" t="s">
        <v>2</v>
      </c>
      <c r="H120" t="s">
        <v>68</v>
      </c>
      <c r="I120" t="s">
        <v>64</v>
      </c>
      <c r="J120" t="str">
        <f>IF(Sheet1!$I120="Chennai","Home","Away")</f>
        <v>Away</v>
      </c>
    </row>
    <row r="121" spans="1:10" x14ac:dyDescent="0.3">
      <c r="A121">
        <f>YEAR(Sheet1!$B121)</f>
        <v>2014</v>
      </c>
      <c r="B121" s="1">
        <v>41750</v>
      </c>
      <c r="C121" t="s">
        <v>3</v>
      </c>
      <c r="D121" t="s">
        <v>94</v>
      </c>
      <c r="F121" t="s">
        <v>3</v>
      </c>
      <c r="G121" t="s">
        <v>2</v>
      </c>
      <c r="H121" t="s">
        <v>80</v>
      </c>
      <c r="I121" t="s">
        <v>64</v>
      </c>
      <c r="J121" t="str">
        <f>IF(Sheet1!$I121="Chennai","Home","Away")</f>
        <v>Away</v>
      </c>
    </row>
    <row r="122" spans="1:10" x14ac:dyDescent="0.3">
      <c r="A122">
        <f>YEAR(Sheet1!$B122)</f>
        <v>2014</v>
      </c>
      <c r="B122" s="1">
        <v>41752</v>
      </c>
      <c r="C122" t="s">
        <v>3</v>
      </c>
      <c r="D122" t="s">
        <v>72</v>
      </c>
      <c r="F122" t="s">
        <v>7</v>
      </c>
      <c r="G122" t="s">
        <v>2</v>
      </c>
      <c r="H122" t="s">
        <v>6</v>
      </c>
      <c r="I122" t="s">
        <v>63</v>
      </c>
      <c r="J122" t="str">
        <f>IF(Sheet1!$I122="Chennai","Home","Away")</f>
        <v>Away</v>
      </c>
    </row>
    <row r="123" spans="1:10" x14ac:dyDescent="0.3">
      <c r="A123">
        <f>YEAR(Sheet1!$B123)</f>
        <v>2014</v>
      </c>
      <c r="B123" s="1">
        <v>41754</v>
      </c>
      <c r="C123" t="s">
        <v>3</v>
      </c>
      <c r="D123" t="s">
        <v>38</v>
      </c>
      <c r="E123">
        <v>6</v>
      </c>
      <c r="F123" t="s">
        <v>7</v>
      </c>
      <c r="G123" t="s">
        <v>11</v>
      </c>
      <c r="H123" t="s">
        <v>22</v>
      </c>
      <c r="I123" t="s">
        <v>63</v>
      </c>
      <c r="J123" t="str">
        <f>IF(Sheet1!$I123="Chennai","Home","Away")</f>
        <v>Away</v>
      </c>
    </row>
    <row r="124" spans="1:10" x14ac:dyDescent="0.3">
      <c r="A124">
        <f>YEAR(Sheet1!$B124)</f>
        <v>2014</v>
      </c>
      <c r="B124" s="1">
        <v>41756</v>
      </c>
      <c r="C124" t="s">
        <v>3</v>
      </c>
      <c r="D124" t="s">
        <v>20</v>
      </c>
      <c r="E124">
        <v>3</v>
      </c>
      <c r="F124" t="s">
        <v>7</v>
      </c>
      <c r="G124" t="s">
        <v>11</v>
      </c>
      <c r="H124" t="s">
        <v>19</v>
      </c>
      <c r="I124" t="s">
        <v>65</v>
      </c>
      <c r="J124" t="str">
        <f>IF(Sheet1!$I124="Chennai","Home","Away")</f>
        <v>Away</v>
      </c>
    </row>
    <row r="125" spans="1:10" x14ac:dyDescent="0.3">
      <c r="A125">
        <f>YEAR(Sheet1!$B125)</f>
        <v>2014</v>
      </c>
      <c r="B125" s="1">
        <v>41761</v>
      </c>
      <c r="C125" t="s">
        <v>3</v>
      </c>
      <c r="D125" t="s">
        <v>81</v>
      </c>
      <c r="F125" t="s">
        <v>3</v>
      </c>
      <c r="G125" t="s">
        <v>2</v>
      </c>
      <c r="H125" t="s">
        <v>10</v>
      </c>
      <c r="I125" t="s">
        <v>86</v>
      </c>
      <c r="J125" t="str">
        <f>IF(Sheet1!$I125="Chennai","Home","Away")</f>
        <v>Away</v>
      </c>
    </row>
    <row r="126" spans="1:10" x14ac:dyDescent="0.3">
      <c r="A126">
        <f>YEAR(Sheet1!$B126)</f>
        <v>2014</v>
      </c>
      <c r="B126" s="1">
        <v>41764</v>
      </c>
      <c r="C126" t="s">
        <v>3</v>
      </c>
      <c r="D126" t="s">
        <v>26</v>
      </c>
      <c r="E126">
        <v>2</v>
      </c>
      <c r="F126" t="s">
        <v>3</v>
      </c>
      <c r="G126" t="s">
        <v>11</v>
      </c>
      <c r="H126" t="s">
        <v>80</v>
      </c>
      <c r="I126" t="s">
        <v>5</v>
      </c>
      <c r="J126" t="str">
        <f>IF(Sheet1!$I126="Chennai","Home","Away")</f>
        <v>Away</v>
      </c>
    </row>
    <row r="127" spans="1:10" x14ac:dyDescent="0.3">
      <c r="A127">
        <f>YEAR(Sheet1!$B127)</f>
        <v>2014</v>
      </c>
      <c r="B127" s="1">
        <v>41766</v>
      </c>
      <c r="C127" t="s">
        <v>7</v>
      </c>
      <c r="D127" t="s">
        <v>73</v>
      </c>
      <c r="F127" t="s">
        <v>3</v>
      </c>
      <c r="G127" t="s">
        <v>11</v>
      </c>
      <c r="H127" t="s">
        <v>68</v>
      </c>
      <c r="I127" t="s">
        <v>93</v>
      </c>
      <c r="J127" t="str">
        <f>IF(Sheet1!$I127="Chennai","Home","Away")</f>
        <v>Away</v>
      </c>
    </row>
    <row r="128" spans="1:10" x14ac:dyDescent="0.3">
      <c r="A128">
        <f>YEAR(Sheet1!$B128)</f>
        <v>2014</v>
      </c>
      <c r="B128" s="1">
        <v>41769</v>
      </c>
      <c r="C128" t="s">
        <v>3</v>
      </c>
      <c r="D128" t="s">
        <v>18</v>
      </c>
      <c r="E128">
        <v>3</v>
      </c>
      <c r="F128" t="s">
        <v>3</v>
      </c>
      <c r="G128" t="s">
        <v>11</v>
      </c>
      <c r="H128" t="s">
        <v>22</v>
      </c>
      <c r="I128" t="s">
        <v>21</v>
      </c>
      <c r="J128" t="str">
        <f>IF(Sheet1!$I128="Chennai","Home","Away")</f>
        <v>Away</v>
      </c>
    </row>
    <row r="129" spans="1:10" x14ac:dyDescent="0.3">
      <c r="A129">
        <f>YEAR(Sheet1!$B129)</f>
        <v>2014</v>
      </c>
      <c r="B129" s="1">
        <v>41772</v>
      </c>
      <c r="C129" t="s">
        <v>3</v>
      </c>
      <c r="D129" t="s">
        <v>20</v>
      </c>
      <c r="E129">
        <v>2</v>
      </c>
      <c r="F129" t="s">
        <v>7</v>
      </c>
      <c r="G129" t="s">
        <v>11</v>
      </c>
      <c r="H129" t="s">
        <v>6</v>
      </c>
      <c r="I129" t="s">
        <v>86</v>
      </c>
      <c r="J129" t="str">
        <f>IF(Sheet1!$I129="Chennai","Home","Away")</f>
        <v>Away</v>
      </c>
    </row>
    <row r="130" spans="1:10" x14ac:dyDescent="0.3">
      <c r="A130">
        <f>YEAR(Sheet1!$B130)</f>
        <v>2014</v>
      </c>
      <c r="B130" s="1">
        <v>41777</v>
      </c>
      <c r="C130" t="s">
        <v>7</v>
      </c>
      <c r="D130" t="s">
        <v>20</v>
      </c>
      <c r="E130">
        <v>1</v>
      </c>
      <c r="F130" t="s">
        <v>3</v>
      </c>
      <c r="G130" t="s">
        <v>2</v>
      </c>
      <c r="H130" t="s">
        <v>14</v>
      </c>
      <c r="I130" t="s">
        <v>86</v>
      </c>
      <c r="J130" t="str">
        <f>IF(Sheet1!$I130="Chennai","Home","Away")</f>
        <v>Away</v>
      </c>
    </row>
    <row r="131" spans="1:10" x14ac:dyDescent="0.3">
      <c r="A131">
        <f>YEAR(Sheet1!$B131)</f>
        <v>2014</v>
      </c>
      <c r="B131" s="1">
        <v>41779</v>
      </c>
      <c r="C131" t="s">
        <v>7</v>
      </c>
      <c r="D131" t="s">
        <v>26</v>
      </c>
      <c r="E131">
        <v>12</v>
      </c>
      <c r="F131" t="s">
        <v>7</v>
      </c>
      <c r="G131" t="s">
        <v>2</v>
      </c>
      <c r="H131" t="s">
        <v>10</v>
      </c>
      <c r="I131" t="s">
        <v>9</v>
      </c>
      <c r="J131" t="str">
        <f>IF(Sheet1!$I131="Chennai","Home","Away")</f>
        <v>Away</v>
      </c>
    </row>
    <row r="132" spans="1:10" x14ac:dyDescent="0.3">
      <c r="A132">
        <f>YEAR(Sheet1!$B132)</f>
        <v>2014</v>
      </c>
      <c r="B132" s="1">
        <v>41781</v>
      </c>
      <c r="C132" t="s">
        <v>7</v>
      </c>
      <c r="D132" t="s">
        <v>8</v>
      </c>
      <c r="E132">
        <v>2</v>
      </c>
      <c r="F132" t="s">
        <v>7</v>
      </c>
      <c r="G132" t="s">
        <v>2</v>
      </c>
      <c r="H132" t="s">
        <v>19</v>
      </c>
      <c r="I132" t="s">
        <v>86</v>
      </c>
      <c r="J132" t="str">
        <f>IF(Sheet1!$I132="Chennai","Home","Away")</f>
        <v>Away</v>
      </c>
    </row>
    <row r="133" spans="1:10" x14ac:dyDescent="0.3">
      <c r="A133">
        <f>YEAR(Sheet1!$B133)</f>
        <v>2014</v>
      </c>
      <c r="B133" s="1">
        <v>41783</v>
      </c>
      <c r="C133" t="s">
        <v>3</v>
      </c>
      <c r="D133" t="s">
        <v>26</v>
      </c>
      <c r="E133">
        <v>14</v>
      </c>
      <c r="F133" t="s">
        <v>3</v>
      </c>
      <c r="G133" t="s">
        <v>11</v>
      </c>
      <c r="H133" t="s">
        <v>14</v>
      </c>
      <c r="I133" t="s">
        <v>13</v>
      </c>
      <c r="J133" t="str">
        <f>IF(Sheet1!$I133="Chennai","Home","Away")</f>
        <v>Away</v>
      </c>
    </row>
    <row r="134" spans="1:10" x14ac:dyDescent="0.3">
      <c r="A134">
        <f>YEAR(Sheet1!$B134)</f>
        <v>2014</v>
      </c>
      <c r="B134" s="1">
        <v>41787</v>
      </c>
      <c r="C134" t="s">
        <v>3</v>
      </c>
      <c r="D134" t="s">
        <v>38</v>
      </c>
      <c r="E134">
        <v>8</v>
      </c>
      <c r="F134" t="s">
        <v>3</v>
      </c>
      <c r="G134" t="s">
        <v>11</v>
      </c>
      <c r="H134" t="s">
        <v>22</v>
      </c>
      <c r="I134" t="s">
        <v>54</v>
      </c>
      <c r="J134" t="str">
        <f>IF(Sheet1!$I134="Chennai","Home","Away")</f>
        <v>Away</v>
      </c>
    </row>
    <row r="135" spans="1:10" x14ac:dyDescent="0.3">
      <c r="A135">
        <f>YEAR(Sheet1!$B135)</f>
        <v>2014</v>
      </c>
      <c r="B135" s="1">
        <v>41789</v>
      </c>
      <c r="C135" t="s">
        <v>7</v>
      </c>
      <c r="D135" t="s">
        <v>88</v>
      </c>
      <c r="F135" t="s">
        <v>3</v>
      </c>
      <c r="G135" t="s">
        <v>11</v>
      </c>
      <c r="H135" t="s">
        <v>68</v>
      </c>
      <c r="I135" t="s">
        <v>21</v>
      </c>
      <c r="J135" t="str">
        <f>IF(Sheet1!$I135="Chennai","Home","Away")</f>
        <v>Away</v>
      </c>
    </row>
    <row r="136" spans="1:10" x14ac:dyDescent="0.3">
      <c r="A136">
        <f>YEAR(Sheet1!$B136)</f>
        <v>2014</v>
      </c>
      <c r="B136" s="1">
        <v>41899</v>
      </c>
      <c r="C136" t="s">
        <v>7</v>
      </c>
      <c r="D136" t="s">
        <v>60</v>
      </c>
      <c r="E136">
        <v>6</v>
      </c>
      <c r="F136" t="s">
        <v>7</v>
      </c>
      <c r="G136" t="s">
        <v>2</v>
      </c>
      <c r="H136" t="s">
        <v>10</v>
      </c>
      <c r="I136" t="s">
        <v>41</v>
      </c>
      <c r="J136" t="str">
        <f>IF(Sheet1!$I136="Chennai","Home","Away")</f>
        <v>Away</v>
      </c>
    </row>
    <row r="137" spans="1:10" x14ac:dyDescent="0.3">
      <c r="A137">
        <f>YEAR(Sheet1!$B137)</f>
        <v>2014</v>
      </c>
      <c r="B137" s="1">
        <v>41904</v>
      </c>
      <c r="C137" t="s">
        <v>3</v>
      </c>
      <c r="D137" t="s">
        <v>62</v>
      </c>
      <c r="F137" t="s">
        <v>7</v>
      </c>
      <c r="G137" t="s">
        <v>2</v>
      </c>
      <c r="H137" t="s">
        <v>92</v>
      </c>
      <c r="I137" t="s">
        <v>13</v>
      </c>
      <c r="J137" t="str">
        <f>IF(Sheet1!$I137="Chennai","Home","Away")</f>
        <v>Away</v>
      </c>
    </row>
    <row r="138" spans="1:10" x14ac:dyDescent="0.3">
      <c r="A138">
        <f>YEAR(Sheet1!$B138)</f>
        <v>2014</v>
      </c>
      <c r="B138" s="1">
        <v>41909</v>
      </c>
      <c r="C138" t="s">
        <v>3</v>
      </c>
      <c r="D138" t="s">
        <v>58</v>
      </c>
      <c r="F138" t="s">
        <v>7</v>
      </c>
      <c r="G138" t="s">
        <v>2</v>
      </c>
      <c r="H138" t="s">
        <v>91</v>
      </c>
      <c r="I138" t="s">
        <v>13</v>
      </c>
      <c r="J138" t="str">
        <f>IF(Sheet1!$I138="Chennai","Home","Away")</f>
        <v>Away</v>
      </c>
    </row>
    <row r="139" spans="1:10" x14ac:dyDescent="0.3">
      <c r="A139">
        <f>YEAR(Sheet1!$B139)</f>
        <v>2014</v>
      </c>
      <c r="B139" s="1">
        <v>41914</v>
      </c>
      <c r="C139" t="s">
        <v>3</v>
      </c>
      <c r="D139" t="s">
        <v>90</v>
      </c>
      <c r="F139" t="s">
        <v>7</v>
      </c>
      <c r="G139" t="s">
        <v>2</v>
      </c>
      <c r="H139" t="s">
        <v>68</v>
      </c>
      <c r="I139" t="s">
        <v>41</v>
      </c>
      <c r="J139" t="str">
        <f>IF(Sheet1!$I139="Chennai","Home","Away")</f>
        <v>Away</v>
      </c>
    </row>
    <row r="140" spans="1:10" x14ac:dyDescent="0.3">
      <c r="A140">
        <f>YEAR(Sheet1!$B140)</f>
        <v>2014</v>
      </c>
      <c r="B140" s="1">
        <v>41916</v>
      </c>
      <c r="C140" t="s">
        <v>3</v>
      </c>
      <c r="D140" t="s">
        <v>26</v>
      </c>
      <c r="E140">
        <v>9</v>
      </c>
      <c r="F140" t="s">
        <v>3</v>
      </c>
      <c r="G140" t="s">
        <v>11</v>
      </c>
      <c r="H140" t="s">
        <v>10</v>
      </c>
      <c r="I140" t="s">
        <v>13</v>
      </c>
      <c r="J140" t="str">
        <f>IF(Sheet1!$I140="Chennai","Home","Away")</f>
        <v>Away</v>
      </c>
    </row>
    <row r="141" spans="1:10" x14ac:dyDescent="0.3">
      <c r="A141">
        <f>YEAR(Sheet1!$B141)</f>
        <v>2015</v>
      </c>
      <c r="B141" s="1">
        <v>42103</v>
      </c>
      <c r="C141" t="s">
        <v>3</v>
      </c>
      <c r="D141" t="s">
        <v>75</v>
      </c>
      <c r="F141" t="s">
        <v>7</v>
      </c>
      <c r="G141" t="s">
        <v>2</v>
      </c>
      <c r="H141" t="s">
        <v>80</v>
      </c>
      <c r="I141" t="s">
        <v>16</v>
      </c>
      <c r="J141" t="str">
        <f>IF(Sheet1!$I141="Chennai","Home","Away")</f>
        <v>Home</v>
      </c>
    </row>
    <row r="142" spans="1:10" x14ac:dyDescent="0.3">
      <c r="A142">
        <f>YEAR(Sheet1!$B142)</f>
        <v>2015</v>
      </c>
      <c r="B142" s="1">
        <v>42105</v>
      </c>
      <c r="C142" t="s">
        <v>3</v>
      </c>
      <c r="D142" t="s">
        <v>67</v>
      </c>
      <c r="F142" t="s">
        <v>3</v>
      </c>
      <c r="G142" t="s">
        <v>2</v>
      </c>
      <c r="H142" t="s">
        <v>19</v>
      </c>
      <c r="I142" t="s">
        <v>16</v>
      </c>
      <c r="J142" t="str">
        <f>IF(Sheet1!$I142="Chennai","Home","Away")</f>
        <v>Home</v>
      </c>
    </row>
    <row r="143" spans="1:10" x14ac:dyDescent="0.3">
      <c r="A143">
        <f>YEAR(Sheet1!$B143)</f>
        <v>2015</v>
      </c>
      <c r="B143" s="1">
        <v>42111</v>
      </c>
      <c r="C143" t="s">
        <v>3</v>
      </c>
      <c r="D143" t="s">
        <v>8</v>
      </c>
      <c r="E143">
        <v>20</v>
      </c>
      <c r="F143" t="s">
        <v>7</v>
      </c>
      <c r="G143" t="s">
        <v>11</v>
      </c>
      <c r="H143" t="s">
        <v>22</v>
      </c>
      <c r="I143" t="s">
        <v>21</v>
      </c>
      <c r="J143" t="str">
        <f>IF(Sheet1!$I143="Chennai","Home","Away")</f>
        <v>Away</v>
      </c>
    </row>
    <row r="144" spans="1:10" x14ac:dyDescent="0.3">
      <c r="A144">
        <f>YEAR(Sheet1!$B144)</f>
        <v>2015</v>
      </c>
      <c r="B144" s="1">
        <v>42113</v>
      </c>
      <c r="C144" t="s">
        <v>7</v>
      </c>
      <c r="D144" t="s">
        <v>26</v>
      </c>
      <c r="E144">
        <v>10</v>
      </c>
      <c r="F144" t="s">
        <v>3</v>
      </c>
      <c r="G144" t="s">
        <v>2</v>
      </c>
      <c r="H144" t="s">
        <v>6</v>
      </c>
      <c r="I144" t="s">
        <v>0</v>
      </c>
      <c r="J144" t="str">
        <f>IF(Sheet1!$I144="Chennai","Home","Away")</f>
        <v>Away</v>
      </c>
    </row>
    <row r="145" spans="1:10" x14ac:dyDescent="0.3">
      <c r="A145">
        <f>YEAR(Sheet1!$B145)</f>
        <v>2015</v>
      </c>
      <c r="B145" s="1">
        <v>42116</v>
      </c>
      <c r="C145" t="s">
        <v>3</v>
      </c>
      <c r="D145" t="s">
        <v>34</v>
      </c>
      <c r="F145" t="s">
        <v>7</v>
      </c>
      <c r="G145" t="s">
        <v>2</v>
      </c>
      <c r="H145" t="s">
        <v>14</v>
      </c>
      <c r="I145" t="s">
        <v>13</v>
      </c>
      <c r="J145" t="str">
        <f>IF(Sheet1!$I145="Chennai","Home","Away")</f>
        <v>Away</v>
      </c>
    </row>
    <row r="146" spans="1:10" x14ac:dyDescent="0.3">
      <c r="A146">
        <f>YEAR(Sheet1!$B146)</f>
        <v>2015</v>
      </c>
      <c r="B146" s="1">
        <v>42119</v>
      </c>
      <c r="C146" t="s">
        <v>3</v>
      </c>
      <c r="D146" t="s">
        <v>89</v>
      </c>
      <c r="F146" t="s">
        <v>3</v>
      </c>
      <c r="G146" t="s">
        <v>2</v>
      </c>
      <c r="H146" t="s">
        <v>68</v>
      </c>
      <c r="I146" t="s">
        <v>16</v>
      </c>
      <c r="J146" t="str">
        <f>IF(Sheet1!$I146="Chennai","Home","Away")</f>
        <v>Home</v>
      </c>
    </row>
    <row r="147" spans="1:10" x14ac:dyDescent="0.3">
      <c r="A147">
        <f>YEAR(Sheet1!$B147)</f>
        <v>2015</v>
      </c>
      <c r="B147" s="1">
        <v>42122</v>
      </c>
      <c r="C147" t="s">
        <v>3</v>
      </c>
      <c r="D147" t="s">
        <v>15</v>
      </c>
      <c r="F147" t="s">
        <v>7</v>
      </c>
      <c r="G147" t="s">
        <v>2</v>
      </c>
      <c r="H147" t="s">
        <v>10</v>
      </c>
      <c r="I147" t="s">
        <v>16</v>
      </c>
      <c r="J147" t="str">
        <f>IF(Sheet1!$I147="Chennai","Home","Away")</f>
        <v>Home</v>
      </c>
    </row>
    <row r="148" spans="1:10" x14ac:dyDescent="0.3">
      <c r="A148">
        <f>YEAR(Sheet1!$B148)</f>
        <v>2015</v>
      </c>
      <c r="B148" s="1">
        <v>42124</v>
      </c>
      <c r="C148" t="s">
        <v>7</v>
      </c>
      <c r="D148" t="s">
        <v>38</v>
      </c>
      <c r="E148">
        <v>1</v>
      </c>
      <c r="F148" t="s">
        <v>7</v>
      </c>
      <c r="G148" t="s">
        <v>2</v>
      </c>
      <c r="H148" t="s">
        <v>10</v>
      </c>
      <c r="I148" t="s">
        <v>9</v>
      </c>
      <c r="J148" t="str">
        <f>IF(Sheet1!$I148="Chennai","Home","Away")</f>
        <v>Away</v>
      </c>
    </row>
    <row r="149" spans="1:10" x14ac:dyDescent="0.3">
      <c r="A149">
        <f>YEAR(Sheet1!$B149)</f>
        <v>2015</v>
      </c>
      <c r="B149" s="1">
        <v>42126</v>
      </c>
      <c r="C149" t="s">
        <v>7</v>
      </c>
      <c r="D149" t="s">
        <v>79</v>
      </c>
      <c r="F149" t="s">
        <v>3</v>
      </c>
      <c r="G149" t="s">
        <v>11</v>
      </c>
      <c r="H149" t="s">
        <v>19</v>
      </c>
      <c r="I149" t="s">
        <v>41</v>
      </c>
      <c r="J149" t="str">
        <f>IF(Sheet1!$I149="Chennai","Home","Away")</f>
        <v>Away</v>
      </c>
    </row>
    <row r="150" spans="1:10" x14ac:dyDescent="0.3">
      <c r="A150">
        <f>YEAR(Sheet1!$B150)</f>
        <v>2015</v>
      </c>
      <c r="B150" s="1">
        <v>42128</v>
      </c>
      <c r="C150" t="s">
        <v>3</v>
      </c>
      <c r="D150" t="s">
        <v>88</v>
      </c>
      <c r="F150" t="s">
        <v>3</v>
      </c>
      <c r="G150" t="s">
        <v>2</v>
      </c>
      <c r="H150" t="s">
        <v>14</v>
      </c>
      <c r="I150" t="s">
        <v>16</v>
      </c>
      <c r="J150" t="str">
        <f>IF(Sheet1!$I150="Chennai","Home","Away")</f>
        <v>Home</v>
      </c>
    </row>
    <row r="151" spans="1:10" x14ac:dyDescent="0.3">
      <c r="A151">
        <f>YEAR(Sheet1!$B151)</f>
        <v>2015</v>
      </c>
      <c r="B151" s="1">
        <v>42132</v>
      </c>
      <c r="C151" t="s">
        <v>7</v>
      </c>
      <c r="D151" t="s">
        <v>8</v>
      </c>
      <c r="E151">
        <v>4</v>
      </c>
      <c r="F151" t="s">
        <v>3</v>
      </c>
      <c r="G151" t="s">
        <v>2</v>
      </c>
      <c r="H151" t="s">
        <v>22</v>
      </c>
      <c r="I151" t="s">
        <v>16</v>
      </c>
      <c r="J151" t="str">
        <f>IF(Sheet1!$I151="Chennai","Home","Away")</f>
        <v>Home</v>
      </c>
    </row>
    <row r="152" spans="1:10" x14ac:dyDescent="0.3">
      <c r="A152">
        <f>YEAR(Sheet1!$B152)</f>
        <v>2015</v>
      </c>
      <c r="B152" s="1">
        <v>42134</v>
      </c>
      <c r="C152" t="s">
        <v>3</v>
      </c>
      <c r="D152" t="s">
        <v>53</v>
      </c>
      <c r="F152" t="s">
        <v>3</v>
      </c>
      <c r="G152" t="s">
        <v>2</v>
      </c>
      <c r="H152" t="s">
        <v>6</v>
      </c>
      <c r="I152" t="s">
        <v>16</v>
      </c>
      <c r="J152" t="str">
        <f>IF(Sheet1!$I152="Chennai","Home","Away")</f>
        <v>Home</v>
      </c>
    </row>
    <row r="153" spans="1:10" x14ac:dyDescent="0.3">
      <c r="A153">
        <f>YEAR(Sheet1!$B153)</f>
        <v>2015</v>
      </c>
      <c r="B153" s="1">
        <v>42136</v>
      </c>
      <c r="C153" t="s">
        <v>7</v>
      </c>
      <c r="D153" t="s">
        <v>8</v>
      </c>
      <c r="E153">
        <v>20</v>
      </c>
      <c r="F153" t="s">
        <v>3</v>
      </c>
      <c r="G153" t="s">
        <v>2</v>
      </c>
      <c r="H153" t="s">
        <v>80</v>
      </c>
      <c r="I153" t="s">
        <v>87</v>
      </c>
      <c r="J153" t="str">
        <f>IF(Sheet1!$I153="Chennai","Home","Away")</f>
        <v>Away</v>
      </c>
    </row>
    <row r="154" spans="1:10" x14ac:dyDescent="0.3">
      <c r="A154">
        <f>YEAR(Sheet1!$B154)</f>
        <v>2015</v>
      </c>
      <c r="B154" s="1">
        <v>42140</v>
      </c>
      <c r="C154" t="s">
        <v>3</v>
      </c>
      <c r="D154" t="s">
        <v>38</v>
      </c>
      <c r="E154">
        <v>19</v>
      </c>
      <c r="F154" t="s">
        <v>7</v>
      </c>
      <c r="G154" t="s">
        <v>11</v>
      </c>
      <c r="H154" t="s">
        <v>68</v>
      </c>
      <c r="I154" t="s">
        <v>76</v>
      </c>
      <c r="J154" t="str">
        <f>IF(Sheet1!$I154="Chennai","Home","Away")</f>
        <v>Away</v>
      </c>
    </row>
    <row r="155" spans="1:10" x14ac:dyDescent="0.3">
      <c r="A155">
        <f>YEAR(Sheet1!$B155)</f>
        <v>2015</v>
      </c>
      <c r="B155" s="1">
        <v>42143</v>
      </c>
      <c r="C155" t="s">
        <v>7</v>
      </c>
      <c r="D155" t="s">
        <v>30</v>
      </c>
      <c r="F155" t="s">
        <v>7</v>
      </c>
      <c r="G155" t="s">
        <v>11</v>
      </c>
      <c r="H155" t="s">
        <v>22</v>
      </c>
      <c r="I155" t="s">
        <v>21</v>
      </c>
      <c r="J155" t="str">
        <f>IF(Sheet1!$I155="Chennai","Home","Away")</f>
        <v>Away</v>
      </c>
    </row>
    <row r="156" spans="1:10" x14ac:dyDescent="0.3">
      <c r="A156">
        <f>YEAR(Sheet1!$B156)</f>
        <v>2015</v>
      </c>
      <c r="B156" s="1">
        <v>42146</v>
      </c>
      <c r="C156" t="s">
        <v>3</v>
      </c>
      <c r="D156" t="s">
        <v>60</v>
      </c>
      <c r="E156">
        <v>1</v>
      </c>
      <c r="F156" t="s">
        <v>3</v>
      </c>
      <c r="G156" t="s">
        <v>11</v>
      </c>
      <c r="H156" t="s">
        <v>14</v>
      </c>
      <c r="I156" t="s">
        <v>86</v>
      </c>
      <c r="J156" t="str">
        <f>IF(Sheet1!$I156="Chennai","Home","Away")</f>
        <v>Away</v>
      </c>
    </row>
    <row r="157" spans="1:10" x14ac:dyDescent="0.3">
      <c r="A157">
        <f>YEAR(Sheet1!$B157)</f>
        <v>2015</v>
      </c>
      <c r="B157" s="1">
        <v>42148</v>
      </c>
      <c r="C157" t="s">
        <v>7</v>
      </c>
      <c r="D157" t="s">
        <v>85</v>
      </c>
      <c r="F157" t="s">
        <v>3</v>
      </c>
      <c r="G157" t="s">
        <v>11</v>
      </c>
      <c r="H157" t="s">
        <v>22</v>
      </c>
      <c r="I157" t="s">
        <v>9</v>
      </c>
      <c r="J157" t="str">
        <f>IF(Sheet1!$I157="Chennai","Home","Away")</f>
        <v>Away</v>
      </c>
    </row>
    <row r="158" spans="1:10" x14ac:dyDescent="0.3">
      <c r="A158">
        <f>YEAR(Sheet1!$B158)</f>
        <v>2018</v>
      </c>
      <c r="B158" s="1">
        <v>43197</v>
      </c>
      <c r="C158" t="s">
        <v>3</v>
      </c>
      <c r="D158" t="s">
        <v>84</v>
      </c>
      <c r="E158">
        <v>1</v>
      </c>
      <c r="F158" t="s">
        <v>3</v>
      </c>
      <c r="G158" t="s">
        <v>11</v>
      </c>
      <c r="H158" t="s">
        <v>22</v>
      </c>
      <c r="I158" t="s">
        <v>21</v>
      </c>
      <c r="J158" t="str">
        <f>IF(Sheet1!$I158="Chennai","Home","Away")</f>
        <v>Away</v>
      </c>
    </row>
    <row r="159" spans="1:10" x14ac:dyDescent="0.3">
      <c r="A159">
        <f>YEAR(Sheet1!$B159)</f>
        <v>2018</v>
      </c>
      <c r="B159" s="1">
        <v>43200</v>
      </c>
      <c r="C159" t="s">
        <v>3</v>
      </c>
      <c r="D159" t="s">
        <v>20</v>
      </c>
      <c r="E159">
        <v>1</v>
      </c>
      <c r="F159" t="s">
        <v>3</v>
      </c>
      <c r="G159" t="s">
        <v>11</v>
      </c>
      <c r="H159" t="s">
        <v>10</v>
      </c>
      <c r="I159" t="s">
        <v>16</v>
      </c>
      <c r="J159" t="str">
        <f>IF(Sheet1!$I159="Chennai","Home","Away")</f>
        <v>Home</v>
      </c>
    </row>
    <row r="160" spans="1:10" x14ac:dyDescent="0.3">
      <c r="A160">
        <f>YEAR(Sheet1!$B160)</f>
        <v>2018</v>
      </c>
      <c r="B160" s="1">
        <v>43205</v>
      </c>
      <c r="C160" t="s">
        <v>7</v>
      </c>
      <c r="D160" t="s">
        <v>82</v>
      </c>
      <c r="F160" t="s">
        <v>3</v>
      </c>
      <c r="G160" t="s">
        <v>11</v>
      </c>
      <c r="H160" t="s">
        <v>68</v>
      </c>
      <c r="I160" t="s">
        <v>76</v>
      </c>
      <c r="J160" t="str">
        <f>IF(Sheet1!$I160="Chennai","Home","Away")</f>
        <v>Away</v>
      </c>
    </row>
    <row r="161" spans="1:10" x14ac:dyDescent="0.3">
      <c r="A161">
        <f>YEAR(Sheet1!$B161)</f>
        <v>2018</v>
      </c>
      <c r="B161" s="1">
        <v>43210</v>
      </c>
      <c r="C161" t="s">
        <v>3</v>
      </c>
      <c r="D161" t="s">
        <v>83</v>
      </c>
      <c r="F161" t="s">
        <v>7</v>
      </c>
      <c r="G161" t="s">
        <v>2</v>
      </c>
      <c r="H161" t="s">
        <v>6</v>
      </c>
      <c r="I161" t="s">
        <v>57</v>
      </c>
      <c r="J161" t="str">
        <f>IF(Sheet1!$I161="Chennai","Home","Away")</f>
        <v>Away</v>
      </c>
    </row>
    <row r="162" spans="1:10" x14ac:dyDescent="0.3">
      <c r="A162">
        <f>YEAR(Sheet1!$B162)</f>
        <v>2018</v>
      </c>
      <c r="B162" s="1">
        <v>43212</v>
      </c>
      <c r="C162" t="s">
        <v>3</v>
      </c>
      <c r="D162" t="s">
        <v>82</v>
      </c>
      <c r="F162" t="s">
        <v>7</v>
      </c>
      <c r="G162" t="s">
        <v>2</v>
      </c>
      <c r="H162" t="s">
        <v>19</v>
      </c>
      <c r="I162" t="s">
        <v>41</v>
      </c>
      <c r="J162" t="str">
        <f>IF(Sheet1!$I162="Chennai","Home","Away")</f>
        <v>Away</v>
      </c>
    </row>
    <row r="163" spans="1:10" x14ac:dyDescent="0.3">
      <c r="A163">
        <f>YEAR(Sheet1!$B163)</f>
        <v>2018</v>
      </c>
      <c r="B163" s="1">
        <v>43215</v>
      </c>
      <c r="C163" t="s">
        <v>3</v>
      </c>
      <c r="D163" t="s">
        <v>20</v>
      </c>
      <c r="E163">
        <v>2</v>
      </c>
      <c r="F163" t="s">
        <v>3</v>
      </c>
      <c r="G163" t="s">
        <v>11</v>
      </c>
      <c r="H163" t="s">
        <v>14</v>
      </c>
      <c r="I163" t="s">
        <v>13</v>
      </c>
      <c r="J163" t="str">
        <f>IF(Sheet1!$I163="Chennai","Home","Away")</f>
        <v>Away</v>
      </c>
    </row>
    <row r="164" spans="1:10" x14ac:dyDescent="0.3">
      <c r="A164">
        <f>YEAR(Sheet1!$B164)</f>
        <v>2018</v>
      </c>
      <c r="B164" s="1">
        <v>43218</v>
      </c>
      <c r="C164" t="s">
        <v>7</v>
      </c>
      <c r="D164" t="s">
        <v>26</v>
      </c>
      <c r="E164">
        <v>2</v>
      </c>
      <c r="F164" t="s">
        <v>7</v>
      </c>
      <c r="G164" t="s">
        <v>2</v>
      </c>
      <c r="H164" t="s">
        <v>22</v>
      </c>
      <c r="I164" t="s">
        <v>57</v>
      </c>
      <c r="J164" t="str">
        <f>IF(Sheet1!$I164="Chennai","Home","Away")</f>
        <v>Away</v>
      </c>
    </row>
    <row r="165" spans="1:10" x14ac:dyDescent="0.3">
      <c r="A165">
        <f>YEAR(Sheet1!$B165)</f>
        <v>2018</v>
      </c>
      <c r="B165" s="1">
        <v>43220</v>
      </c>
      <c r="C165" t="s">
        <v>3</v>
      </c>
      <c r="D165" t="s">
        <v>58</v>
      </c>
      <c r="F165" t="s">
        <v>7</v>
      </c>
      <c r="G165" t="s">
        <v>2</v>
      </c>
      <c r="H165" t="s">
        <v>80</v>
      </c>
      <c r="I165" t="s">
        <v>57</v>
      </c>
      <c r="J165" t="str">
        <f>IF(Sheet1!$I165="Chennai","Home","Away")</f>
        <v>Away</v>
      </c>
    </row>
    <row r="166" spans="1:10" x14ac:dyDescent="0.3">
      <c r="A166">
        <f>YEAR(Sheet1!$B166)</f>
        <v>2018</v>
      </c>
      <c r="B166" s="1">
        <v>43223</v>
      </c>
      <c r="C166" t="s">
        <v>7</v>
      </c>
      <c r="D166" t="s">
        <v>8</v>
      </c>
      <c r="E166">
        <v>14</v>
      </c>
      <c r="F166" t="s">
        <v>7</v>
      </c>
      <c r="G166" t="s">
        <v>2</v>
      </c>
      <c r="H166" t="s">
        <v>10</v>
      </c>
      <c r="I166" t="s">
        <v>9</v>
      </c>
      <c r="J166" t="str">
        <f>IF(Sheet1!$I166="Chennai","Home","Away")</f>
        <v>Away</v>
      </c>
    </row>
    <row r="167" spans="1:10" x14ac:dyDescent="0.3">
      <c r="A167">
        <f>YEAR(Sheet1!$B167)</f>
        <v>2018</v>
      </c>
      <c r="B167" s="1">
        <v>43225</v>
      </c>
      <c r="C167" t="s">
        <v>3</v>
      </c>
      <c r="D167" t="s">
        <v>8</v>
      </c>
      <c r="E167">
        <v>12</v>
      </c>
      <c r="F167" t="s">
        <v>3</v>
      </c>
      <c r="G167" t="s">
        <v>11</v>
      </c>
      <c r="H167" t="s">
        <v>14</v>
      </c>
      <c r="I167" t="s">
        <v>57</v>
      </c>
      <c r="J167" t="str">
        <f>IF(Sheet1!$I167="Chennai","Home","Away")</f>
        <v>Away</v>
      </c>
    </row>
    <row r="168" spans="1:10" x14ac:dyDescent="0.3">
      <c r="A168">
        <f>YEAR(Sheet1!$B168)</f>
        <v>2018</v>
      </c>
      <c r="B168" s="1">
        <v>43231</v>
      </c>
      <c r="C168" t="s">
        <v>7</v>
      </c>
      <c r="D168" t="s">
        <v>18</v>
      </c>
      <c r="E168">
        <v>1</v>
      </c>
      <c r="F168" t="s">
        <v>3</v>
      </c>
      <c r="G168" t="s">
        <v>2</v>
      </c>
      <c r="H168" t="s">
        <v>6</v>
      </c>
      <c r="I168" t="s">
        <v>48</v>
      </c>
      <c r="J168" t="str">
        <f>IF(Sheet1!$I168="Chennai","Home","Away")</f>
        <v>Away</v>
      </c>
    </row>
    <row r="169" spans="1:10" x14ac:dyDescent="0.3">
      <c r="A169">
        <f>YEAR(Sheet1!$B169)</f>
        <v>2018</v>
      </c>
      <c r="B169" s="1">
        <v>43233</v>
      </c>
      <c r="C169" t="s">
        <v>3</v>
      </c>
      <c r="D169" t="s">
        <v>26</v>
      </c>
      <c r="E169">
        <v>6</v>
      </c>
      <c r="F169" t="s">
        <v>3</v>
      </c>
      <c r="G169" t="s">
        <v>11</v>
      </c>
      <c r="H169" t="s">
        <v>19</v>
      </c>
      <c r="I169" t="s">
        <v>57</v>
      </c>
      <c r="J169" t="str">
        <f>IF(Sheet1!$I169="Chennai","Home","Away")</f>
        <v>Away</v>
      </c>
    </row>
    <row r="170" spans="1:10" x14ac:dyDescent="0.3">
      <c r="A170">
        <f>YEAR(Sheet1!$B170)</f>
        <v>2018</v>
      </c>
      <c r="B170" s="1">
        <v>43238</v>
      </c>
      <c r="C170" t="s">
        <v>7</v>
      </c>
      <c r="D170" t="s">
        <v>81</v>
      </c>
      <c r="F170" t="s">
        <v>3</v>
      </c>
      <c r="G170" t="s">
        <v>11</v>
      </c>
      <c r="H170" t="s">
        <v>80</v>
      </c>
      <c r="I170" t="s">
        <v>5</v>
      </c>
      <c r="J170" t="str">
        <f>IF(Sheet1!$I170="Chennai","Home","Away")</f>
        <v>Away</v>
      </c>
    </row>
    <row r="171" spans="1:10" x14ac:dyDescent="0.3">
      <c r="A171">
        <f>YEAR(Sheet1!$B171)</f>
        <v>2018</v>
      </c>
      <c r="B171" s="1">
        <v>43240</v>
      </c>
      <c r="C171" t="s">
        <v>3</v>
      </c>
      <c r="D171" t="s">
        <v>20</v>
      </c>
      <c r="E171">
        <v>5</v>
      </c>
      <c r="F171" t="s">
        <v>3</v>
      </c>
      <c r="G171" t="s">
        <v>11</v>
      </c>
      <c r="H171" t="s">
        <v>68</v>
      </c>
      <c r="I171" t="s">
        <v>57</v>
      </c>
      <c r="J171" t="str">
        <f>IF(Sheet1!$I171="Chennai","Home","Away")</f>
        <v>Away</v>
      </c>
    </row>
    <row r="172" spans="1:10" x14ac:dyDescent="0.3">
      <c r="A172">
        <f>YEAR(Sheet1!$B172)</f>
        <v>2018</v>
      </c>
      <c r="B172" s="1">
        <v>43242</v>
      </c>
      <c r="C172" t="s">
        <v>3</v>
      </c>
      <c r="D172" t="s">
        <v>12</v>
      </c>
      <c r="E172">
        <v>5</v>
      </c>
      <c r="F172" t="s">
        <v>3</v>
      </c>
      <c r="G172" t="s">
        <v>11</v>
      </c>
      <c r="H172" t="s">
        <v>19</v>
      </c>
      <c r="I172" t="s">
        <v>21</v>
      </c>
      <c r="J172" t="str">
        <f>IF(Sheet1!$I172="Chennai","Home","Away")</f>
        <v>Away</v>
      </c>
    </row>
    <row r="173" spans="1:10" x14ac:dyDescent="0.3">
      <c r="A173">
        <f>YEAR(Sheet1!$B173)</f>
        <v>2018</v>
      </c>
      <c r="B173" s="1">
        <v>43247</v>
      </c>
      <c r="C173" t="s">
        <v>3</v>
      </c>
      <c r="D173" t="s">
        <v>26</v>
      </c>
      <c r="E173">
        <v>9</v>
      </c>
      <c r="F173" t="s">
        <v>3</v>
      </c>
      <c r="G173" t="s">
        <v>11</v>
      </c>
      <c r="H173" t="s">
        <v>19</v>
      </c>
      <c r="I173" t="s">
        <v>21</v>
      </c>
      <c r="J173" t="str">
        <f>IF(Sheet1!$I173="Chennai","Home","Away")</f>
        <v>Away</v>
      </c>
    </row>
    <row r="174" spans="1:10" x14ac:dyDescent="0.3">
      <c r="A174">
        <f>YEAR(Sheet1!$B174)</f>
        <v>2019</v>
      </c>
      <c r="B174" s="1">
        <v>43547</v>
      </c>
      <c r="C174" t="s">
        <v>3</v>
      </c>
      <c r="D174" t="s">
        <v>38</v>
      </c>
      <c r="E174">
        <v>14</v>
      </c>
      <c r="F174" t="s">
        <v>3</v>
      </c>
      <c r="G174" t="s">
        <v>11</v>
      </c>
      <c r="H174" t="s">
        <v>14</v>
      </c>
      <c r="I174" t="s">
        <v>16</v>
      </c>
      <c r="J174" t="str">
        <f>IF(Sheet1!$I174="Chennai","Home","Away")</f>
        <v>Home</v>
      </c>
    </row>
    <row r="175" spans="1:10" x14ac:dyDescent="0.3">
      <c r="A175">
        <f>YEAR(Sheet1!$B175)</f>
        <v>2019</v>
      </c>
      <c r="B175" s="1">
        <v>43550</v>
      </c>
      <c r="C175" t="s">
        <v>3</v>
      </c>
      <c r="D175" t="s">
        <v>8</v>
      </c>
      <c r="E175">
        <v>2</v>
      </c>
      <c r="F175" t="s">
        <v>7</v>
      </c>
      <c r="G175" t="s">
        <v>11</v>
      </c>
      <c r="H175" t="s">
        <v>29</v>
      </c>
      <c r="I175" t="s">
        <v>5</v>
      </c>
      <c r="J175" t="str">
        <f>IF(Sheet1!$I175="Chennai","Home","Away")</f>
        <v>Away</v>
      </c>
    </row>
    <row r="176" spans="1:10" x14ac:dyDescent="0.3">
      <c r="A176">
        <f>YEAR(Sheet1!$B176)</f>
        <v>2019</v>
      </c>
      <c r="B176" s="1">
        <v>43555</v>
      </c>
      <c r="C176" t="s">
        <v>3</v>
      </c>
      <c r="D176" t="s">
        <v>51</v>
      </c>
      <c r="F176" t="s">
        <v>7</v>
      </c>
      <c r="G176" t="s">
        <v>2</v>
      </c>
      <c r="H176" t="s">
        <v>6</v>
      </c>
      <c r="I176" t="s">
        <v>16</v>
      </c>
      <c r="J176" t="str">
        <f>IF(Sheet1!$I176="Chennai","Home","Away")</f>
        <v>Home</v>
      </c>
    </row>
    <row r="177" spans="1:10" x14ac:dyDescent="0.3">
      <c r="A177">
        <f>YEAR(Sheet1!$B177)</f>
        <v>2019</v>
      </c>
      <c r="B177" s="1">
        <v>43558</v>
      </c>
      <c r="C177" t="s">
        <v>7</v>
      </c>
      <c r="D177" t="s">
        <v>70</v>
      </c>
      <c r="F177" t="s">
        <v>3</v>
      </c>
      <c r="G177" t="s">
        <v>11</v>
      </c>
      <c r="H177" t="s">
        <v>22</v>
      </c>
      <c r="I177" t="s">
        <v>21</v>
      </c>
      <c r="J177" t="str">
        <f>IF(Sheet1!$I177="Chennai","Home","Away")</f>
        <v>Away</v>
      </c>
    </row>
    <row r="178" spans="1:10" x14ac:dyDescent="0.3">
      <c r="A178">
        <f>YEAR(Sheet1!$B178)</f>
        <v>2019</v>
      </c>
      <c r="B178" s="1">
        <v>43561</v>
      </c>
      <c r="C178" t="s">
        <v>3</v>
      </c>
      <c r="D178" t="s">
        <v>79</v>
      </c>
      <c r="F178" t="s">
        <v>3</v>
      </c>
      <c r="G178" t="s">
        <v>2</v>
      </c>
      <c r="H178" t="s">
        <v>68</v>
      </c>
      <c r="I178" t="s">
        <v>16</v>
      </c>
      <c r="J178" t="str">
        <f>IF(Sheet1!$I178="Chennai","Home","Away")</f>
        <v>Home</v>
      </c>
    </row>
    <row r="179" spans="1:10" x14ac:dyDescent="0.3">
      <c r="A179">
        <f>YEAR(Sheet1!$B179)</f>
        <v>2019</v>
      </c>
      <c r="B179" s="1">
        <v>43564</v>
      </c>
      <c r="C179" t="s">
        <v>3</v>
      </c>
      <c r="D179" t="s">
        <v>38</v>
      </c>
      <c r="E179">
        <v>16</v>
      </c>
      <c r="F179" t="s">
        <v>3</v>
      </c>
      <c r="G179" t="s">
        <v>11</v>
      </c>
      <c r="H179" t="s">
        <v>10</v>
      </c>
      <c r="I179" t="s">
        <v>16</v>
      </c>
      <c r="J179" t="str">
        <f>IF(Sheet1!$I179="Chennai","Home","Away")</f>
        <v>Home</v>
      </c>
    </row>
    <row r="180" spans="1:10" x14ac:dyDescent="0.3">
      <c r="A180">
        <f>YEAR(Sheet1!$B180)</f>
        <v>2019</v>
      </c>
      <c r="B180" s="1">
        <v>43566</v>
      </c>
      <c r="C180" t="s">
        <v>3</v>
      </c>
      <c r="D180" t="s">
        <v>18</v>
      </c>
      <c r="E180">
        <v>0</v>
      </c>
      <c r="F180" t="s">
        <v>3</v>
      </c>
      <c r="G180" t="s">
        <v>11</v>
      </c>
      <c r="H180" t="s">
        <v>6</v>
      </c>
      <c r="I180" t="s">
        <v>48</v>
      </c>
      <c r="J180" t="str">
        <f>IF(Sheet1!$I180="Chennai","Home","Away")</f>
        <v>Away</v>
      </c>
    </row>
    <row r="181" spans="1:10" x14ac:dyDescent="0.3">
      <c r="A181">
        <f>YEAR(Sheet1!$B181)</f>
        <v>2019</v>
      </c>
      <c r="B181" s="1">
        <v>43569</v>
      </c>
      <c r="C181" t="s">
        <v>3</v>
      </c>
      <c r="D181" t="s">
        <v>20</v>
      </c>
      <c r="E181">
        <v>2</v>
      </c>
      <c r="F181" t="s">
        <v>3</v>
      </c>
      <c r="G181" t="s">
        <v>11</v>
      </c>
      <c r="H181" t="s">
        <v>10</v>
      </c>
      <c r="I181" t="s">
        <v>9</v>
      </c>
      <c r="J181" t="str">
        <f>IF(Sheet1!$I181="Chennai","Home","Away")</f>
        <v>Away</v>
      </c>
    </row>
    <row r="182" spans="1:10" x14ac:dyDescent="0.3">
      <c r="A182">
        <f>YEAR(Sheet1!$B182)</f>
        <v>2019</v>
      </c>
      <c r="B182" s="1">
        <v>43572</v>
      </c>
      <c r="C182" t="s">
        <v>7</v>
      </c>
      <c r="D182" t="s">
        <v>8</v>
      </c>
      <c r="E182">
        <v>19</v>
      </c>
      <c r="F182" t="s">
        <v>3</v>
      </c>
      <c r="G182" t="s">
        <v>2</v>
      </c>
      <c r="H182" t="s">
        <v>19</v>
      </c>
      <c r="I182" t="s">
        <v>41</v>
      </c>
      <c r="J182" t="str">
        <f>IF(Sheet1!$I182="Chennai","Home","Away")</f>
        <v>Away</v>
      </c>
    </row>
    <row r="183" spans="1:10" x14ac:dyDescent="0.3">
      <c r="A183">
        <f>YEAR(Sheet1!$B183)</f>
        <v>2019</v>
      </c>
      <c r="B183" s="1">
        <v>43576</v>
      </c>
      <c r="C183" t="s">
        <v>7</v>
      </c>
      <c r="D183" t="s">
        <v>75</v>
      </c>
      <c r="F183" t="s">
        <v>3</v>
      </c>
      <c r="G183" t="s">
        <v>11</v>
      </c>
      <c r="H183" t="s">
        <v>14</v>
      </c>
      <c r="I183" t="s">
        <v>13</v>
      </c>
      <c r="J183" t="str">
        <f>IF(Sheet1!$I183="Chennai","Home","Away")</f>
        <v>Away</v>
      </c>
    </row>
    <row r="184" spans="1:10" x14ac:dyDescent="0.3">
      <c r="A184">
        <f>YEAR(Sheet1!$B184)</f>
        <v>2019</v>
      </c>
      <c r="B184" s="1">
        <v>43578</v>
      </c>
      <c r="C184" t="s">
        <v>3</v>
      </c>
      <c r="D184" t="s">
        <v>8</v>
      </c>
      <c r="E184">
        <v>1</v>
      </c>
      <c r="F184" t="s">
        <v>3</v>
      </c>
      <c r="G184" t="s">
        <v>11</v>
      </c>
      <c r="H184" t="s">
        <v>19</v>
      </c>
      <c r="I184" t="s">
        <v>16</v>
      </c>
      <c r="J184" t="str">
        <f>IF(Sheet1!$I184="Chennai","Home","Away")</f>
        <v>Home</v>
      </c>
    </row>
    <row r="185" spans="1:10" x14ac:dyDescent="0.3">
      <c r="A185">
        <f>YEAR(Sheet1!$B185)</f>
        <v>2019</v>
      </c>
      <c r="B185" s="1">
        <v>43581</v>
      </c>
      <c r="C185" t="s">
        <v>7</v>
      </c>
      <c r="D185" t="s">
        <v>78</v>
      </c>
      <c r="F185" t="s">
        <v>3</v>
      </c>
      <c r="G185" t="s">
        <v>11</v>
      </c>
      <c r="H185" t="s">
        <v>22</v>
      </c>
      <c r="I185" t="s">
        <v>16</v>
      </c>
      <c r="J185" t="str">
        <f>IF(Sheet1!$I185="Chennai","Home","Away")</f>
        <v>Home</v>
      </c>
    </row>
    <row r="186" spans="1:10" x14ac:dyDescent="0.3">
      <c r="A186">
        <f>YEAR(Sheet1!$B186)</f>
        <v>2019</v>
      </c>
      <c r="B186" s="1">
        <v>43586</v>
      </c>
      <c r="C186" t="s">
        <v>3</v>
      </c>
      <c r="D186" t="s">
        <v>77</v>
      </c>
      <c r="F186" t="s">
        <v>7</v>
      </c>
      <c r="G186" t="s">
        <v>2</v>
      </c>
      <c r="H186" t="s">
        <v>29</v>
      </c>
      <c r="I186" t="s">
        <v>16</v>
      </c>
      <c r="J186" t="str">
        <f>IF(Sheet1!$I186="Chennai","Home","Away")</f>
        <v>Home</v>
      </c>
    </row>
    <row r="187" spans="1:10" x14ac:dyDescent="0.3">
      <c r="A187">
        <f>YEAR(Sheet1!$B187)</f>
        <v>2019</v>
      </c>
      <c r="B187" s="1">
        <v>43590</v>
      </c>
      <c r="C187" t="s">
        <v>7</v>
      </c>
      <c r="D187" t="s">
        <v>8</v>
      </c>
      <c r="E187">
        <v>12</v>
      </c>
      <c r="F187" t="s">
        <v>7</v>
      </c>
      <c r="G187" t="s">
        <v>2</v>
      </c>
      <c r="H187" t="s">
        <v>68</v>
      </c>
      <c r="I187" t="s">
        <v>76</v>
      </c>
      <c r="J187" t="str">
        <f>IF(Sheet1!$I187="Chennai","Home","Away")</f>
        <v>Away</v>
      </c>
    </row>
    <row r="188" spans="1:10" x14ac:dyDescent="0.3">
      <c r="A188">
        <f>YEAR(Sheet1!$B188)</f>
        <v>2019</v>
      </c>
      <c r="B188" s="1">
        <v>43592</v>
      </c>
      <c r="C188" t="s">
        <v>7</v>
      </c>
      <c r="D188" t="s">
        <v>8</v>
      </c>
      <c r="E188">
        <v>9</v>
      </c>
      <c r="F188" t="s">
        <v>3</v>
      </c>
      <c r="G188" t="s">
        <v>2</v>
      </c>
      <c r="H188" t="s">
        <v>22</v>
      </c>
      <c r="I188" t="s">
        <v>16</v>
      </c>
      <c r="J188" t="str">
        <f>IF(Sheet1!$I188="Chennai","Home","Away")</f>
        <v>Home</v>
      </c>
    </row>
    <row r="189" spans="1:10" x14ac:dyDescent="0.3">
      <c r="A189">
        <f>YEAR(Sheet1!$B189)</f>
        <v>2019</v>
      </c>
      <c r="B189" s="1">
        <v>43595</v>
      </c>
      <c r="C189" t="s">
        <v>3</v>
      </c>
      <c r="D189" t="s">
        <v>8</v>
      </c>
      <c r="E189">
        <v>6</v>
      </c>
      <c r="F189" t="s">
        <v>3</v>
      </c>
      <c r="G189" t="s">
        <v>11</v>
      </c>
      <c r="H189" t="s">
        <v>29</v>
      </c>
      <c r="I189" t="s">
        <v>42</v>
      </c>
      <c r="J189" t="str">
        <f>IF(Sheet1!$I189="Chennai","Home","Away")</f>
        <v>Away</v>
      </c>
    </row>
    <row r="190" spans="1:10" x14ac:dyDescent="0.3">
      <c r="A190">
        <f>YEAR(Sheet1!$B190)</f>
        <v>2019</v>
      </c>
      <c r="B190" s="1">
        <v>43597</v>
      </c>
      <c r="C190" t="s">
        <v>7</v>
      </c>
      <c r="D190" t="s">
        <v>75</v>
      </c>
      <c r="F190" t="s">
        <v>7</v>
      </c>
      <c r="G190" t="s">
        <v>11</v>
      </c>
      <c r="H190" t="s">
        <v>22</v>
      </c>
      <c r="I190" t="s">
        <v>41</v>
      </c>
      <c r="J190" t="str">
        <f>IF(Sheet1!$I190="Chennai","Home","Away")</f>
        <v>Away</v>
      </c>
    </row>
    <row r="191" spans="1:10" x14ac:dyDescent="0.3">
      <c r="A191">
        <f>YEAR(Sheet1!$B191)</f>
        <v>2020</v>
      </c>
      <c r="B191" s="1">
        <v>44093</v>
      </c>
      <c r="C191" t="s">
        <v>3</v>
      </c>
      <c r="D191" t="s">
        <v>20</v>
      </c>
      <c r="E191">
        <v>4</v>
      </c>
      <c r="F191" t="s">
        <v>3</v>
      </c>
      <c r="G191" t="s">
        <v>11</v>
      </c>
      <c r="H191" t="s">
        <v>22</v>
      </c>
      <c r="I191" t="s">
        <v>64</v>
      </c>
      <c r="J191" t="str">
        <f>IF(Sheet1!$I191="Chennai","Home","Away")</f>
        <v>Away</v>
      </c>
    </row>
    <row r="192" spans="1:10" x14ac:dyDescent="0.3">
      <c r="A192">
        <f>YEAR(Sheet1!$B192)</f>
        <v>2020</v>
      </c>
      <c r="B192" s="1">
        <v>44096</v>
      </c>
      <c r="C192" t="s">
        <v>7</v>
      </c>
      <c r="D192" t="s">
        <v>74</v>
      </c>
      <c r="F192" t="s">
        <v>3</v>
      </c>
      <c r="G192" t="s">
        <v>11</v>
      </c>
      <c r="H192" t="s">
        <v>6</v>
      </c>
      <c r="I192" t="s">
        <v>65</v>
      </c>
      <c r="J192" t="str">
        <f>IF(Sheet1!$I192="Chennai","Home","Away")</f>
        <v>Away</v>
      </c>
    </row>
    <row r="193" spans="1:10" x14ac:dyDescent="0.3">
      <c r="A193">
        <f>YEAR(Sheet1!$B193)</f>
        <v>2020</v>
      </c>
      <c r="B193" s="1">
        <v>44099</v>
      </c>
      <c r="C193" t="s">
        <v>7</v>
      </c>
      <c r="D193" t="s">
        <v>73</v>
      </c>
      <c r="F193" t="s">
        <v>3</v>
      </c>
      <c r="G193" t="s">
        <v>11</v>
      </c>
      <c r="H193" t="s">
        <v>29</v>
      </c>
      <c r="I193" t="s">
        <v>63</v>
      </c>
      <c r="J193" t="str">
        <f>IF(Sheet1!$I193="Chennai","Home","Away")</f>
        <v>Away</v>
      </c>
    </row>
    <row r="194" spans="1:10" x14ac:dyDescent="0.3">
      <c r="A194">
        <f>YEAR(Sheet1!$B194)</f>
        <v>2020</v>
      </c>
      <c r="B194" s="1">
        <v>44106</v>
      </c>
      <c r="C194" t="s">
        <v>7</v>
      </c>
      <c r="D194" t="s">
        <v>72</v>
      </c>
      <c r="F194" t="s">
        <v>7</v>
      </c>
      <c r="G194" t="s">
        <v>11</v>
      </c>
      <c r="H194" t="s">
        <v>19</v>
      </c>
      <c r="I194" t="s">
        <v>63</v>
      </c>
      <c r="J194" t="str">
        <f>IF(Sheet1!$I194="Chennai","Home","Away")</f>
        <v>Away</v>
      </c>
    </row>
    <row r="195" spans="1:10" x14ac:dyDescent="0.3">
      <c r="A195">
        <f>YEAR(Sheet1!$B195)</f>
        <v>2020</v>
      </c>
      <c r="B195" s="1">
        <v>44108</v>
      </c>
      <c r="C195" t="s">
        <v>3</v>
      </c>
      <c r="D195" t="s">
        <v>69</v>
      </c>
      <c r="E195">
        <v>14</v>
      </c>
      <c r="F195" t="s">
        <v>7</v>
      </c>
      <c r="G195" t="s">
        <v>11</v>
      </c>
      <c r="H195" t="s">
        <v>68</v>
      </c>
      <c r="I195" t="s">
        <v>63</v>
      </c>
      <c r="J195" t="str">
        <f>IF(Sheet1!$I195="Chennai","Home","Away")</f>
        <v>Away</v>
      </c>
    </row>
    <row r="196" spans="1:10" x14ac:dyDescent="0.3">
      <c r="A196">
        <f>YEAR(Sheet1!$B196)</f>
        <v>2020</v>
      </c>
      <c r="B196" s="1">
        <v>44111</v>
      </c>
      <c r="C196" t="s">
        <v>7</v>
      </c>
      <c r="D196" t="s">
        <v>71</v>
      </c>
      <c r="F196" t="s">
        <v>7</v>
      </c>
      <c r="G196" t="s">
        <v>11</v>
      </c>
      <c r="H196" t="s">
        <v>10</v>
      </c>
      <c r="I196" t="s">
        <v>64</v>
      </c>
      <c r="J196" t="str">
        <f>IF(Sheet1!$I196="Chennai","Home","Away")</f>
        <v>Away</v>
      </c>
    </row>
    <row r="197" spans="1:10" x14ac:dyDescent="0.3">
      <c r="A197">
        <f>YEAR(Sheet1!$B197)</f>
        <v>2020</v>
      </c>
      <c r="B197" s="1">
        <v>44114</v>
      </c>
      <c r="C197" t="s">
        <v>7</v>
      </c>
      <c r="D197" t="s">
        <v>70</v>
      </c>
      <c r="F197" t="s">
        <v>7</v>
      </c>
      <c r="G197" t="s">
        <v>11</v>
      </c>
      <c r="H197" t="s">
        <v>14</v>
      </c>
      <c r="I197" t="s">
        <v>63</v>
      </c>
      <c r="J197" t="str">
        <f>IF(Sheet1!$I197="Chennai","Home","Away")</f>
        <v>Away</v>
      </c>
    </row>
    <row r="198" spans="1:10" x14ac:dyDescent="0.3">
      <c r="A198">
        <f>YEAR(Sheet1!$B198)</f>
        <v>2020</v>
      </c>
      <c r="B198" s="1">
        <v>44117</v>
      </c>
      <c r="C198" t="s">
        <v>3</v>
      </c>
      <c r="D198" t="s">
        <v>40</v>
      </c>
      <c r="F198" t="s">
        <v>3</v>
      </c>
      <c r="G198" t="s">
        <v>2</v>
      </c>
      <c r="H198" t="s">
        <v>19</v>
      </c>
      <c r="I198" t="s">
        <v>63</v>
      </c>
      <c r="J198" t="str">
        <f>IF(Sheet1!$I198="Chennai","Home","Away")</f>
        <v>Away</v>
      </c>
    </row>
    <row r="199" spans="1:10" x14ac:dyDescent="0.3">
      <c r="A199">
        <f>YEAR(Sheet1!$B199)</f>
        <v>2020</v>
      </c>
      <c r="B199" s="1">
        <v>44121</v>
      </c>
      <c r="C199" t="s">
        <v>7</v>
      </c>
      <c r="D199" t="s">
        <v>20</v>
      </c>
      <c r="E199">
        <v>1</v>
      </c>
      <c r="F199" t="s">
        <v>3</v>
      </c>
      <c r="G199" t="s">
        <v>2</v>
      </c>
      <c r="H199" t="s">
        <v>29</v>
      </c>
      <c r="I199" t="s">
        <v>65</v>
      </c>
      <c r="J199" t="str">
        <f>IF(Sheet1!$I199="Chennai","Home","Away")</f>
        <v>Away</v>
      </c>
    </row>
    <row r="200" spans="1:10" x14ac:dyDescent="0.3">
      <c r="A200">
        <f>YEAR(Sheet1!$B200)</f>
        <v>2020</v>
      </c>
      <c r="B200" s="1">
        <v>44123</v>
      </c>
      <c r="C200" t="s">
        <v>7</v>
      </c>
      <c r="D200" t="s">
        <v>38</v>
      </c>
      <c r="E200">
        <v>15</v>
      </c>
      <c r="F200" t="s">
        <v>3</v>
      </c>
      <c r="G200" t="s">
        <v>2</v>
      </c>
      <c r="H200" t="s">
        <v>6</v>
      </c>
      <c r="I200" t="s">
        <v>64</v>
      </c>
      <c r="J200" t="str">
        <f>IF(Sheet1!$I200="Chennai","Home","Away")</f>
        <v>Away</v>
      </c>
    </row>
    <row r="201" spans="1:10" x14ac:dyDescent="0.3">
      <c r="A201">
        <f>YEAR(Sheet1!$B201)</f>
        <v>2020</v>
      </c>
      <c r="B201" s="1">
        <v>44127</v>
      </c>
      <c r="C201" t="s">
        <v>7</v>
      </c>
      <c r="D201" t="s">
        <v>69</v>
      </c>
      <c r="E201">
        <v>46</v>
      </c>
      <c r="F201" t="s">
        <v>7</v>
      </c>
      <c r="G201" t="s">
        <v>2</v>
      </c>
      <c r="H201" t="s">
        <v>22</v>
      </c>
      <c r="I201" t="s">
        <v>65</v>
      </c>
      <c r="J201" t="str">
        <f>IF(Sheet1!$I201="Chennai","Home","Away")</f>
        <v>Away</v>
      </c>
    </row>
    <row r="202" spans="1:10" x14ac:dyDescent="0.3">
      <c r="A202">
        <f>YEAR(Sheet1!$B202)</f>
        <v>2020</v>
      </c>
      <c r="B202" s="1">
        <v>44129</v>
      </c>
      <c r="C202" t="s">
        <v>3</v>
      </c>
      <c r="D202" t="s">
        <v>26</v>
      </c>
      <c r="E202">
        <v>8</v>
      </c>
      <c r="F202" t="s">
        <v>7</v>
      </c>
      <c r="G202" t="s">
        <v>11</v>
      </c>
      <c r="H202" t="s">
        <v>14</v>
      </c>
      <c r="I202" t="s">
        <v>63</v>
      </c>
      <c r="J202" t="str">
        <f>IF(Sheet1!$I202="Chennai","Home","Away")</f>
        <v>Away</v>
      </c>
    </row>
    <row r="203" spans="1:10" x14ac:dyDescent="0.3">
      <c r="A203">
        <f>YEAR(Sheet1!$B203)</f>
        <v>2020</v>
      </c>
      <c r="B203" s="1">
        <v>44133</v>
      </c>
      <c r="C203" t="s">
        <v>3</v>
      </c>
      <c r="D203" t="s">
        <v>8</v>
      </c>
      <c r="E203">
        <v>0</v>
      </c>
      <c r="F203" t="s">
        <v>3</v>
      </c>
      <c r="G203" t="s">
        <v>11</v>
      </c>
      <c r="H203" t="s">
        <v>10</v>
      </c>
      <c r="I203" t="s">
        <v>63</v>
      </c>
      <c r="J203" t="str">
        <f>IF(Sheet1!$I203="Chennai","Home","Away")</f>
        <v>Away</v>
      </c>
    </row>
    <row r="204" spans="1:10" x14ac:dyDescent="0.3">
      <c r="A204">
        <f>YEAR(Sheet1!$B204)</f>
        <v>2020</v>
      </c>
      <c r="B204" s="1">
        <v>44136</v>
      </c>
      <c r="C204" t="s">
        <v>3</v>
      </c>
      <c r="D204" t="s">
        <v>23</v>
      </c>
      <c r="E204">
        <v>7</v>
      </c>
      <c r="F204" t="s">
        <v>3</v>
      </c>
      <c r="G204" t="s">
        <v>11</v>
      </c>
      <c r="H204" t="s">
        <v>68</v>
      </c>
      <c r="I204" t="s">
        <v>64</v>
      </c>
      <c r="J204" t="str">
        <f>IF(Sheet1!$I204="Chennai","Home","Away")</f>
        <v>Away</v>
      </c>
    </row>
    <row r="205" spans="1:10" x14ac:dyDescent="0.3">
      <c r="A205">
        <f>YEAR(Sheet1!$B205)</f>
        <v>2021</v>
      </c>
      <c r="B205" s="1">
        <v>44296</v>
      </c>
      <c r="C205" t="s">
        <v>7</v>
      </c>
      <c r="D205" t="s">
        <v>38</v>
      </c>
      <c r="E205">
        <v>8</v>
      </c>
      <c r="F205" t="s">
        <v>7</v>
      </c>
      <c r="G205" t="s">
        <v>2</v>
      </c>
      <c r="H205" t="s">
        <v>29</v>
      </c>
      <c r="I205" t="s">
        <v>21</v>
      </c>
      <c r="J205" t="str">
        <f>IF(Sheet1!$I205="Chennai","Home","Away")</f>
        <v>Away</v>
      </c>
    </row>
    <row r="206" spans="1:10" x14ac:dyDescent="0.3">
      <c r="A206">
        <f>YEAR(Sheet1!$B206)</f>
        <v>2021</v>
      </c>
      <c r="B206" s="1">
        <v>44302</v>
      </c>
      <c r="C206" t="s">
        <v>3</v>
      </c>
      <c r="D206" t="s">
        <v>8</v>
      </c>
      <c r="E206">
        <v>26</v>
      </c>
      <c r="F206" t="s">
        <v>3</v>
      </c>
      <c r="G206" t="s">
        <v>11</v>
      </c>
      <c r="H206" t="s">
        <v>17</v>
      </c>
      <c r="I206" t="s">
        <v>21</v>
      </c>
      <c r="J206" t="str">
        <f>IF(Sheet1!$I206="Chennai","Home","Away")</f>
        <v>Away</v>
      </c>
    </row>
    <row r="207" spans="1:10" x14ac:dyDescent="0.3">
      <c r="A207">
        <f>YEAR(Sheet1!$B207)</f>
        <v>2021</v>
      </c>
      <c r="B207" s="1">
        <v>44305</v>
      </c>
      <c r="C207" t="s">
        <v>3</v>
      </c>
      <c r="D207" t="s">
        <v>67</v>
      </c>
      <c r="F207" t="s">
        <v>7</v>
      </c>
      <c r="G207" t="s">
        <v>2</v>
      </c>
      <c r="H207" t="s">
        <v>6</v>
      </c>
      <c r="I207" t="s">
        <v>21</v>
      </c>
      <c r="J207" t="str">
        <f>IF(Sheet1!$I207="Chennai","Home","Away")</f>
        <v>Away</v>
      </c>
    </row>
    <row r="208" spans="1:10" x14ac:dyDescent="0.3">
      <c r="A208">
        <f>YEAR(Sheet1!$B208)</f>
        <v>2021</v>
      </c>
      <c r="B208" s="1">
        <v>44307</v>
      </c>
      <c r="C208" t="s">
        <v>3</v>
      </c>
      <c r="D208" t="s">
        <v>28</v>
      </c>
      <c r="F208" t="s">
        <v>7</v>
      </c>
      <c r="G208" t="s">
        <v>2</v>
      </c>
      <c r="H208" t="s">
        <v>10</v>
      </c>
      <c r="I208" t="s">
        <v>21</v>
      </c>
      <c r="J208" t="str">
        <f>IF(Sheet1!$I208="Chennai","Home","Away")</f>
        <v>Away</v>
      </c>
    </row>
    <row r="209" spans="1:10" x14ac:dyDescent="0.3">
      <c r="A209">
        <f>YEAR(Sheet1!$B209)</f>
        <v>2021</v>
      </c>
      <c r="B209" s="1">
        <v>44311</v>
      </c>
      <c r="C209" t="s">
        <v>3</v>
      </c>
      <c r="D209" t="s">
        <v>66</v>
      </c>
      <c r="F209" t="s">
        <v>3</v>
      </c>
      <c r="G209" t="s">
        <v>2</v>
      </c>
      <c r="H209" t="s">
        <v>14</v>
      </c>
      <c r="I209" t="s">
        <v>21</v>
      </c>
      <c r="J209" t="str">
        <f>IF(Sheet1!$I209="Chennai","Home","Away")</f>
        <v>Away</v>
      </c>
    </row>
    <row r="210" spans="1:10" x14ac:dyDescent="0.3">
      <c r="A210">
        <f>YEAR(Sheet1!$B210)</f>
        <v>2021</v>
      </c>
      <c r="B210" s="1">
        <v>44314</v>
      </c>
      <c r="C210" t="s">
        <v>3</v>
      </c>
      <c r="D210" t="s">
        <v>38</v>
      </c>
      <c r="E210">
        <v>9</v>
      </c>
      <c r="F210" t="s">
        <v>7</v>
      </c>
      <c r="G210" t="s">
        <v>11</v>
      </c>
      <c r="H210" t="s">
        <v>19</v>
      </c>
      <c r="I210" t="s">
        <v>5</v>
      </c>
      <c r="J210" t="str">
        <f>IF(Sheet1!$I210="Chennai","Home","Away")</f>
        <v>Away</v>
      </c>
    </row>
    <row r="211" spans="1:10" x14ac:dyDescent="0.3">
      <c r="A211">
        <f>YEAR(Sheet1!$B211)</f>
        <v>2021</v>
      </c>
      <c r="B211" s="1">
        <v>44317</v>
      </c>
      <c r="C211" t="s">
        <v>7</v>
      </c>
      <c r="D211" t="s">
        <v>18</v>
      </c>
      <c r="E211">
        <v>0</v>
      </c>
      <c r="F211" t="s">
        <v>7</v>
      </c>
      <c r="G211" t="s">
        <v>2</v>
      </c>
      <c r="H211" t="s">
        <v>22</v>
      </c>
      <c r="I211" t="s">
        <v>5</v>
      </c>
      <c r="J211" t="str">
        <f>IF(Sheet1!$I211="Chennai","Home","Away")</f>
        <v>Away</v>
      </c>
    </row>
    <row r="212" spans="1:10" x14ac:dyDescent="0.3">
      <c r="A212">
        <f>YEAR(Sheet1!$B212)</f>
        <v>2021</v>
      </c>
      <c r="B212" s="1">
        <v>44458</v>
      </c>
      <c r="C212" t="s">
        <v>3</v>
      </c>
      <c r="D212" t="s">
        <v>40</v>
      </c>
      <c r="F212" t="s">
        <v>3</v>
      </c>
      <c r="G212" t="s">
        <v>2</v>
      </c>
      <c r="H212" t="s">
        <v>22</v>
      </c>
      <c r="I212" t="s">
        <v>63</v>
      </c>
      <c r="J212" t="str">
        <f>IF(Sheet1!$I212="Chennai","Home","Away")</f>
        <v>Away</v>
      </c>
    </row>
    <row r="213" spans="1:10" x14ac:dyDescent="0.3">
      <c r="A213">
        <f>YEAR(Sheet1!$B213)</f>
        <v>2021</v>
      </c>
      <c r="B213" s="1">
        <v>44463</v>
      </c>
      <c r="C213" t="s">
        <v>3</v>
      </c>
      <c r="D213" t="s">
        <v>8</v>
      </c>
      <c r="E213">
        <v>11</v>
      </c>
      <c r="F213" t="s">
        <v>3</v>
      </c>
      <c r="G213" t="s">
        <v>11</v>
      </c>
      <c r="H213" t="s">
        <v>14</v>
      </c>
      <c r="I213" t="s">
        <v>65</v>
      </c>
      <c r="J213" t="str">
        <f>IF(Sheet1!$I213="Chennai","Home","Away")</f>
        <v>Away</v>
      </c>
    </row>
    <row r="214" spans="1:10" x14ac:dyDescent="0.3">
      <c r="A214">
        <f>YEAR(Sheet1!$B214)</f>
        <v>2021</v>
      </c>
      <c r="B214" s="1">
        <v>44465</v>
      </c>
      <c r="C214" t="s">
        <v>3</v>
      </c>
      <c r="D214" t="s">
        <v>12</v>
      </c>
      <c r="E214">
        <v>0</v>
      </c>
      <c r="F214" t="s">
        <v>7</v>
      </c>
      <c r="G214" t="s">
        <v>11</v>
      </c>
      <c r="H214" t="s">
        <v>10</v>
      </c>
      <c r="I214" t="s">
        <v>64</v>
      </c>
      <c r="J214" t="str">
        <f>IF(Sheet1!$I214="Chennai","Home","Away")</f>
        <v>Away</v>
      </c>
    </row>
    <row r="215" spans="1:10" x14ac:dyDescent="0.3">
      <c r="A215">
        <f>YEAR(Sheet1!$B215)</f>
        <v>2021</v>
      </c>
      <c r="B215" s="1">
        <v>44469</v>
      </c>
      <c r="C215" t="s">
        <v>3</v>
      </c>
      <c r="D215" t="s">
        <v>8</v>
      </c>
      <c r="E215">
        <v>2</v>
      </c>
      <c r="F215" t="s">
        <v>3</v>
      </c>
      <c r="G215" t="s">
        <v>11</v>
      </c>
      <c r="H215" t="s">
        <v>19</v>
      </c>
      <c r="I215" t="s">
        <v>65</v>
      </c>
      <c r="J215" t="str">
        <f>IF(Sheet1!$I215="Chennai","Home","Away")</f>
        <v>Away</v>
      </c>
    </row>
    <row r="216" spans="1:10" x14ac:dyDescent="0.3">
      <c r="A216">
        <f>YEAR(Sheet1!$B216)</f>
        <v>2021</v>
      </c>
      <c r="B216" s="1">
        <v>44471</v>
      </c>
      <c r="C216" t="s">
        <v>7</v>
      </c>
      <c r="D216" t="s">
        <v>38</v>
      </c>
      <c r="E216">
        <v>15</v>
      </c>
      <c r="F216" t="s">
        <v>7</v>
      </c>
      <c r="G216" t="s">
        <v>2</v>
      </c>
      <c r="H216" t="s">
        <v>6</v>
      </c>
      <c r="I216" t="s">
        <v>64</v>
      </c>
      <c r="J216" t="str">
        <f>IF(Sheet1!$I216="Chennai","Home","Away")</f>
        <v>Away</v>
      </c>
    </row>
    <row r="217" spans="1:10" x14ac:dyDescent="0.3">
      <c r="A217">
        <f>YEAR(Sheet1!$B217)</f>
        <v>2021</v>
      </c>
      <c r="B217" s="1">
        <v>44473</v>
      </c>
      <c r="C217" t="s">
        <v>7</v>
      </c>
      <c r="D217" t="s">
        <v>60</v>
      </c>
      <c r="E217">
        <v>2</v>
      </c>
      <c r="F217" t="s">
        <v>7</v>
      </c>
      <c r="G217" t="s">
        <v>2</v>
      </c>
      <c r="H217" t="s">
        <v>29</v>
      </c>
      <c r="I217" t="s">
        <v>63</v>
      </c>
      <c r="J217" t="str">
        <f>IF(Sheet1!$I217="Chennai","Home","Away")</f>
        <v>Away</v>
      </c>
    </row>
    <row r="218" spans="1:10" x14ac:dyDescent="0.3">
      <c r="A218">
        <f>YEAR(Sheet1!$B218)</f>
        <v>2021</v>
      </c>
      <c r="B218" s="1">
        <v>44476</v>
      </c>
      <c r="C218" t="s">
        <v>7</v>
      </c>
      <c r="D218" t="s">
        <v>8</v>
      </c>
      <c r="E218">
        <v>42</v>
      </c>
      <c r="F218" t="s">
        <v>7</v>
      </c>
      <c r="G218" t="s">
        <v>2</v>
      </c>
      <c r="H218" t="s">
        <v>17</v>
      </c>
      <c r="I218" t="s">
        <v>63</v>
      </c>
      <c r="J218" t="str">
        <f>IF(Sheet1!$I218="Chennai","Home","Away")</f>
        <v>Away</v>
      </c>
    </row>
    <row r="219" spans="1:10" x14ac:dyDescent="0.3">
      <c r="A219">
        <f>YEAR(Sheet1!$B219)</f>
        <v>2021</v>
      </c>
      <c r="B219" s="1">
        <v>44479</v>
      </c>
      <c r="C219" t="s">
        <v>3</v>
      </c>
      <c r="D219" t="s">
        <v>18</v>
      </c>
      <c r="E219">
        <v>2</v>
      </c>
      <c r="F219" t="s">
        <v>3</v>
      </c>
      <c r="G219" t="s">
        <v>11</v>
      </c>
      <c r="H219" t="s">
        <v>29</v>
      </c>
      <c r="I219" t="s">
        <v>63</v>
      </c>
      <c r="J219" t="str">
        <f>IF(Sheet1!$I219="Chennai","Home","Away")</f>
        <v>Away</v>
      </c>
    </row>
    <row r="220" spans="1:10" x14ac:dyDescent="0.3">
      <c r="A220">
        <f>YEAR(Sheet1!$B220)</f>
        <v>2021</v>
      </c>
      <c r="B220" s="1">
        <v>44484</v>
      </c>
      <c r="C220" t="s">
        <v>3</v>
      </c>
      <c r="D220" t="s">
        <v>34</v>
      </c>
      <c r="F220" t="s">
        <v>7</v>
      </c>
      <c r="G220" t="s">
        <v>2</v>
      </c>
      <c r="H220" t="s">
        <v>10</v>
      </c>
      <c r="I220" t="s">
        <v>63</v>
      </c>
      <c r="J220" t="str">
        <f>IF(Sheet1!$I220="Chennai","Home","Away")</f>
        <v>Away</v>
      </c>
    </row>
    <row r="221" spans="1:10" x14ac:dyDescent="0.3">
      <c r="A221">
        <f>YEAR(Sheet1!$B221)</f>
        <v>2022</v>
      </c>
      <c r="B221" s="1">
        <v>44646</v>
      </c>
      <c r="C221" t="s">
        <v>7</v>
      </c>
      <c r="D221" t="s">
        <v>8</v>
      </c>
      <c r="E221">
        <v>9</v>
      </c>
      <c r="F221" t="s">
        <v>7</v>
      </c>
      <c r="G221" t="s">
        <v>2</v>
      </c>
      <c r="H221" t="s">
        <v>10</v>
      </c>
      <c r="I221" t="s">
        <v>21</v>
      </c>
      <c r="J221" t="str">
        <f>IF(Sheet1!$I221="Chennai","Home","Away")</f>
        <v>Away</v>
      </c>
    </row>
    <row r="222" spans="1:10" x14ac:dyDescent="0.3">
      <c r="A222">
        <f>YEAR(Sheet1!$B222)</f>
        <v>2022</v>
      </c>
      <c r="B222" s="1">
        <v>44651</v>
      </c>
      <c r="C222" t="s">
        <v>7</v>
      </c>
      <c r="D222" t="s">
        <v>8</v>
      </c>
      <c r="E222">
        <v>3</v>
      </c>
      <c r="F222" t="s">
        <v>7</v>
      </c>
      <c r="G222" t="s">
        <v>2</v>
      </c>
      <c r="H222" t="s">
        <v>25</v>
      </c>
      <c r="I222" t="s">
        <v>54</v>
      </c>
      <c r="J222" t="str">
        <f>IF(Sheet1!$I222="Chennai","Home","Away")</f>
        <v>Away</v>
      </c>
    </row>
    <row r="223" spans="1:10" x14ac:dyDescent="0.3">
      <c r="A223">
        <f>YEAR(Sheet1!$B223)</f>
        <v>2022</v>
      </c>
      <c r="B223" s="1">
        <v>44654</v>
      </c>
      <c r="C223" t="s">
        <v>7</v>
      </c>
      <c r="D223" t="s">
        <v>62</v>
      </c>
      <c r="F223" t="s">
        <v>3</v>
      </c>
      <c r="G223" t="s">
        <v>11</v>
      </c>
      <c r="H223" t="s">
        <v>17</v>
      </c>
      <c r="I223" t="s">
        <v>54</v>
      </c>
      <c r="J223" t="str">
        <f>IF(Sheet1!$I223="Chennai","Home","Away")</f>
        <v>Away</v>
      </c>
    </row>
    <row r="224" spans="1:10" x14ac:dyDescent="0.3">
      <c r="A224">
        <f>YEAR(Sheet1!$B224)</f>
        <v>2022</v>
      </c>
      <c r="B224" s="1">
        <v>44660</v>
      </c>
      <c r="C224" t="s">
        <v>7</v>
      </c>
      <c r="D224" t="s">
        <v>26</v>
      </c>
      <c r="E224">
        <v>14</v>
      </c>
      <c r="F224" t="s">
        <v>7</v>
      </c>
      <c r="G224" t="s">
        <v>2</v>
      </c>
      <c r="H224" t="s">
        <v>19</v>
      </c>
      <c r="I224" t="s">
        <v>55</v>
      </c>
      <c r="J224" t="str">
        <f>IF(Sheet1!$I224="Chennai","Home","Away")</f>
        <v>Away</v>
      </c>
    </row>
    <row r="225" spans="1:10" x14ac:dyDescent="0.3">
      <c r="A225">
        <f>YEAR(Sheet1!$B225)</f>
        <v>2022</v>
      </c>
      <c r="B225" s="1">
        <v>44663</v>
      </c>
      <c r="C225" t="s">
        <v>3</v>
      </c>
      <c r="D225" t="s">
        <v>61</v>
      </c>
      <c r="F225" t="s">
        <v>7</v>
      </c>
      <c r="G225" t="s">
        <v>2</v>
      </c>
      <c r="H225" t="s">
        <v>14</v>
      </c>
      <c r="I225" t="s">
        <v>55</v>
      </c>
      <c r="J225" t="str">
        <f>IF(Sheet1!$I225="Chennai","Home","Away")</f>
        <v>Away</v>
      </c>
    </row>
    <row r="226" spans="1:10" x14ac:dyDescent="0.3">
      <c r="A226">
        <f>YEAR(Sheet1!$B226)</f>
        <v>2022</v>
      </c>
      <c r="B226" s="1">
        <v>44668</v>
      </c>
      <c r="C226" t="s">
        <v>7</v>
      </c>
      <c r="D226" t="s">
        <v>60</v>
      </c>
      <c r="E226">
        <v>1</v>
      </c>
      <c r="F226" t="s">
        <v>7</v>
      </c>
      <c r="G226" t="s">
        <v>2</v>
      </c>
      <c r="H226" t="s">
        <v>1</v>
      </c>
      <c r="I226" t="s">
        <v>57</v>
      </c>
      <c r="J226" t="str">
        <f>IF(Sheet1!$I226="Chennai","Home","Away")</f>
        <v>Away</v>
      </c>
    </row>
    <row r="227" spans="1:10" x14ac:dyDescent="0.3">
      <c r="A227">
        <f>YEAR(Sheet1!$B227)</f>
        <v>2022</v>
      </c>
      <c r="B227" s="1">
        <v>44672</v>
      </c>
      <c r="C227" t="s">
        <v>3</v>
      </c>
      <c r="D227" t="s">
        <v>60</v>
      </c>
      <c r="E227">
        <v>0</v>
      </c>
      <c r="F227" t="s">
        <v>3</v>
      </c>
      <c r="G227" t="s">
        <v>11</v>
      </c>
      <c r="H227" t="s">
        <v>22</v>
      </c>
      <c r="I227" t="s">
        <v>55</v>
      </c>
      <c r="J227" t="str">
        <f>IF(Sheet1!$I227="Chennai","Home","Away")</f>
        <v>Away</v>
      </c>
    </row>
    <row r="228" spans="1:10" x14ac:dyDescent="0.3">
      <c r="A228">
        <f>YEAR(Sheet1!$B228)</f>
        <v>2022</v>
      </c>
      <c r="B228" s="1">
        <v>44676</v>
      </c>
      <c r="C228" t="s">
        <v>7</v>
      </c>
      <c r="D228" t="s">
        <v>59</v>
      </c>
      <c r="F228" t="s">
        <v>3</v>
      </c>
      <c r="G228" t="s">
        <v>11</v>
      </c>
      <c r="H228" t="s">
        <v>17</v>
      </c>
      <c r="I228" t="s">
        <v>21</v>
      </c>
      <c r="J228" t="str">
        <f>IF(Sheet1!$I228="Chennai","Home","Away")</f>
        <v>Away</v>
      </c>
    </row>
    <row r="229" spans="1:10" x14ac:dyDescent="0.3">
      <c r="A229">
        <f>YEAR(Sheet1!$B229)</f>
        <v>2022</v>
      </c>
      <c r="B229" s="1">
        <v>44682</v>
      </c>
      <c r="C229" t="s">
        <v>3</v>
      </c>
      <c r="D229" t="s">
        <v>58</v>
      </c>
      <c r="F229" t="s">
        <v>7</v>
      </c>
      <c r="G229" t="s">
        <v>2</v>
      </c>
      <c r="H229" t="s">
        <v>19</v>
      </c>
      <c r="I229" t="s">
        <v>57</v>
      </c>
      <c r="J229" t="str">
        <f>IF(Sheet1!$I229="Chennai","Home","Away")</f>
        <v>Away</v>
      </c>
    </row>
    <row r="230" spans="1:10" x14ac:dyDescent="0.3">
      <c r="A230">
        <f>YEAR(Sheet1!$B230)</f>
        <v>2022</v>
      </c>
      <c r="B230" s="1">
        <v>44685</v>
      </c>
      <c r="C230" t="s">
        <v>7</v>
      </c>
      <c r="D230" t="s">
        <v>58</v>
      </c>
      <c r="F230" t="s">
        <v>3</v>
      </c>
      <c r="G230" t="s">
        <v>11</v>
      </c>
      <c r="H230" t="s">
        <v>14</v>
      </c>
      <c r="I230" t="s">
        <v>57</v>
      </c>
      <c r="J230" t="str">
        <f>IF(Sheet1!$I230="Chennai","Home","Away")</f>
        <v>Away</v>
      </c>
    </row>
    <row r="231" spans="1:10" x14ac:dyDescent="0.3">
      <c r="A231">
        <f>YEAR(Sheet1!$B231)</f>
        <v>2022</v>
      </c>
      <c r="B231" s="1">
        <v>44689</v>
      </c>
      <c r="C231" t="s">
        <v>3</v>
      </c>
      <c r="D231" t="s">
        <v>56</v>
      </c>
      <c r="F231" t="s">
        <v>7</v>
      </c>
      <c r="G231" t="s">
        <v>2</v>
      </c>
      <c r="H231" t="s">
        <v>29</v>
      </c>
      <c r="I231" t="s">
        <v>55</v>
      </c>
      <c r="J231" t="str">
        <f>IF(Sheet1!$I231="Chennai","Home","Away")</f>
        <v>Away</v>
      </c>
    </row>
    <row r="232" spans="1:10" x14ac:dyDescent="0.3">
      <c r="A232">
        <f>YEAR(Sheet1!$B232)</f>
        <v>2022</v>
      </c>
      <c r="B232" s="1">
        <v>44693</v>
      </c>
      <c r="C232" t="s">
        <v>7</v>
      </c>
      <c r="D232" t="s">
        <v>20</v>
      </c>
      <c r="E232">
        <v>31</v>
      </c>
      <c r="F232" t="s">
        <v>7</v>
      </c>
      <c r="G232" t="s">
        <v>2</v>
      </c>
      <c r="H232" t="s">
        <v>22</v>
      </c>
      <c r="I232" t="s">
        <v>21</v>
      </c>
      <c r="J232" t="str">
        <f>IF(Sheet1!$I232="Chennai","Home","Away")</f>
        <v>Away</v>
      </c>
    </row>
    <row r="233" spans="1:10" x14ac:dyDescent="0.3">
      <c r="A233">
        <f>YEAR(Sheet1!$B233)</f>
        <v>2022</v>
      </c>
      <c r="B233" s="1">
        <v>44696</v>
      </c>
      <c r="C233" t="s">
        <v>7</v>
      </c>
      <c r="D233" t="s">
        <v>38</v>
      </c>
      <c r="E233">
        <v>5</v>
      </c>
      <c r="F233" t="s">
        <v>3</v>
      </c>
      <c r="G233" t="s">
        <v>2</v>
      </c>
      <c r="H233" t="s">
        <v>1</v>
      </c>
      <c r="I233" t="s">
        <v>21</v>
      </c>
      <c r="J233" t="str">
        <f>IF(Sheet1!$I233="Chennai","Home","Away")</f>
        <v>Away</v>
      </c>
    </row>
    <row r="234" spans="1:10" x14ac:dyDescent="0.3">
      <c r="A234">
        <f>YEAR(Sheet1!$B234)</f>
        <v>2022</v>
      </c>
      <c r="B234" s="1">
        <v>44701</v>
      </c>
      <c r="C234" t="s">
        <v>7</v>
      </c>
      <c r="D234" t="s">
        <v>20</v>
      </c>
      <c r="E234">
        <v>2</v>
      </c>
      <c r="F234" t="s">
        <v>3</v>
      </c>
      <c r="G234" t="s">
        <v>2</v>
      </c>
      <c r="H234" t="s">
        <v>6</v>
      </c>
      <c r="I234" t="s">
        <v>54</v>
      </c>
      <c r="J234" t="str">
        <f>IF(Sheet1!$I234="Chennai","Home","Away")</f>
        <v>Away</v>
      </c>
    </row>
    <row r="235" spans="1:10" x14ac:dyDescent="0.3">
      <c r="A235">
        <f>YEAR(Sheet1!$B235)</f>
        <v>2023</v>
      </c>
      <c r="B235" s="1">
        <v>45016</v>
      </c>
      <c r="C235" t="s">
        <v>7</v>
      </c>
      <c r="D235" t="s">
        <v>20</v>
      </c>
      <c r="E235">
        <v>4</v>
      </c>
      <c r="F235" t="s">
        <v>7</v>
      </c>
      <c r="G235" t="s">
        <v>2</v>
      </c>
      <c r="H235" t="s">
        <v>1</v>
      </c>
      <c r="I235" t="s">
        <v>0</v>
      </c>
      <c r="J235" t="str">
        <f>IF(Sheet1!$I235="Chennai","Home","Away")</f>
        <v>Away</v>
      </c>
    </row>
    <row r="236" spans="1:10" x14ac:dyDescent="0.3">
      <c r="A236">
        <f>YEAR(Sheet1!$B236)</f>
        <v>2023</v>
      </c>
      <c r="B236" s="1">
        <v>45019</v>
      </c>
      <c r="C236" t="s">
        <v>3</v>
      </c>
      <c r="D236" t="s">
        <v>53</v>
      </c>
      <c r="F236" t="s">
        <v>7</v>
      </c>
      <c r="G236" t="s">
        <v>2</v>
      </c>
      <c r="H236" t="s">
        <v>25</v>
      </c>
      <c r="I236" t="s">
        <v>16</v>
      </c>
      <c r="J236" t="str">
        <f>IF(Sheet1!$I236="Chennai","Home","Away")</f>
        <v>Home</v>
      </c>
    </row>
    <row r="237" spans="1:10" x14ac:dyDescent="0.3">
      <c r="A237">
        <f>YEAR(Sheet1!$B237)</f>
        <v>2023</v>
      </c>
      <c r="B237" s="1">
        <v>45024</v>
      </c>
      <c r="C237" t="s">
        <v>3</v>
      </c>
      <c r="D237" t="s">
        <v>38</v>
      </c>
      <c r="E237">
        <v>11</v>
      </c>
      <c r="F237" t="s">
        <v>3</v>
      </c>
      <c r="G237" t="s">
        <v>11</v>
      </c>
      <c r="H237" t="s">
        <v>22</v>
      </c>
      <c r="I237" t="s">
        <v>21</v>
      </c>
      <c r="J237" t="str">
        <f>IF(Sheet1!$I237="Chennai","Home","Away")</f>
        <v>Away</v>
      </c>
    </row>
    <row r="238" spans="1:10" x14ac:dyDescent="0.3">
      <c r="A238">
        <f>YEAR(Sheet1!$B238)</f>
        <v>2023</v>
      </c>
      <c r="B238" s="1">
        <v>45028</v>
      </c>
      <c r="C238" t="s">
        <v>7</v>
      </c>
      <c r="D238" t="s">
        <v>52</v>
      </c>
      <c r="F238" t="s">
        <v>3</v>
      </c>
      <c r="G238" t="s">
        <v>11</v>
      </c>
      <c r="H238" t="s">
        <v>6</v>
      </c>
      <c r="I238" t="s">
        <v>16</v>
      </c>
      <c r="J238" t="str">
        <f>IF(Sheet1!$I238="Chennai","Home","Away")</f>
        <v>Home</v>
      </c>
    </row>
    <row r="239" spans="1:10" x14ac:dyDescent="0.3">
      <c r="A239">
        <f>YEAR(Sheet1!$B239)</f>
        <v>2023</v>
      </c>
      <c r="B239" s="1">
        <v>45033</v>
      </c>
      <c r="C239" t="s">
        <v>3</v>
      </c>
      <c r="D239" t="s">
        <v>51</v>
      </c>
      <c r="F239" t="s">
        <v>7</v>
      </c>
      <c r="G239" t="s">
        <v>2</v>
      </c>
      <c r="H239" t="s">
        <v>14</v>
      </c>
      <c r="I239" t="s">
        <v>13</v>
      </c>
      <c r="J239" t="str">
        <f>IF(Sheet1!$I239="Chennai","Home","Away")</f>
        <v>Away</v>
      </c>
    </row>
    <row r="240" spans="1:10" x14ac:dyDescent="0.3">
      <c r="A240">
        <f>YEAR(Sheet1!$B240)</f>
        <v>2023</v>
      </c>
      <c r="B240" s="1">
        <v>45037</v>
      </c>
      <c r="C240" t="s">
        <v>3</v>
      </c>
      <c r="D240" t="s">
        <v>38</v>
      </c>
      <c r="E240">
        <v>8</v>
      </c>
      <c r="F240" t="s">
        <v>3</v>
      </c>
      <c r="G240" t="s">
        <v>11</v>
      </c>
      <c r="H240" t="s">
        <v>19</v>
      </c>
      <c r="I240" t="s">
        <v>16</v>
      </c>
      <c r="J240" t="str">
        <f>IF(Sheet1!$I240="Chennai","Home","Away")</f>
        <v>Home</v>
      </c>
    </row>
    <row r="241" spans="1:10" x14ac:dyDescent="0.3">
      <c r="A241">
        <f>YEAR(Sheet1!$B241)</f>
        <v>2023</v>
      </c>
      <c r="B241" s="1">
        <v>45039</v>
      </c>
      <c r="C241" t="s">
        <v>3</v>
      </c>
      <c r="D241" t="s">
        <v>50</v>
      </c>
      <c r="F241" t="s">
        <v>7</v>
      </c>
      <c r="G241" t="s">
        <v>2</v>
      </c>
      <c r="H241" t="s">
        <v>10</v>
      </c>
      <c r="I241" t="s">
        <v>9</v>
      </c>
      <c r="J241" t="str">
        <f>IF(Sheet1!$I241="Chennai","Home","Away")</f>
        <v>Away</v>
      </c>
    </row>
    <row r="242" spans="1:10" x14ac:dyDescent="0.3">
      <c r="A242">
        <f>YEAR(Sheet1!$B242)</f>
        <v>2023</v>
      </c>
      <c r="B242" s="1">
        <v>45043</v>
      </c>
      <c r="C242" t="s">
        <v>7</v>
      </c>
      <c r="D242" t="s">
        <v>49</v>
      </c>
      <c r="F242" t="s">
        <v>7</v>
      </c>
      <c r="G242" t="s">
        <v>11</v>
      </c>
      <c r="H242" t="s">
        <v>6</v>
      </c>
      <c r="I242" t="s">
        <v>48</v>
      </c>
      <c r="J242" t="str">
        <f>IF(Sheet1!$I242="Chennai","Home","Away")</f>
        <v>Away</v>
      </c>
    </row>
    <row r="243" spans="1:10" x14ac:dyDescent="0.3">
      <c r="A243">
        <f>YEAR(Sheet1!$B243)</f>
        <v>2023</v>
      </c>
      <c r="B243" s="1">
        <v>45046</v>
      </c>
      <c r="C243" t="s">
        <v>7</v>
      </c>
      <c r="D243" t="s">
        <v>18</v>
      </c>
      <c r="E243">
        <v>0</v>
      </c>
      <c r="F243" t="s">
        <v>3</v>
      </c>
      <c r="G243" t="s">
        <v>2</v>
      </c>
      <c r="H243" t="s">
        <v>17</v>
      </c>
      <c r="I243" t="s">
        <v>16</v>
      </c>
      <c r="J243" t="str">
        <f>IF(Sheet1!$I243="Chennai","Home","Away")</f>
        <v>Home</v>
      </c>
    </row>
    <row r="244" spans="1:10" x14ac:dyDescent="0.3">
      <c r="A244">
        <f>YEAR(Sheet1!$B244)</f>
        <v>2023</v>
      </c>
      <c r="B244" s="1">
        <v>45049</v>
      </c>
      <c r="C244" t="s">
        <v>47</v>
      </c>
      <c r="D244" t="s">
        <v>46</v>
      </c>
      <c r="F244" t="s">
        <v>3</v>
      </c>
      <c r="G244" t="s">
        <v>11</v>
      </c>
      <c r="H244" t="s">
        <v>25</v>
      </c>
      <c r="I244" t="s">
        <v>24</v>
      </c>
      <c r="J244" t="str">
        <f>IF(Sheet1!$I244="Chennai","Home","Away")</f>
        <v>Away</v>
      </c>
    </row>
    <row r="245" spans="1:10" x14ac:dyDescent="0.3">
      <c r="A245">
        <f>YEAR(Sheet1!$B245)</f>
        <v>2023</v>
      </c>
      <c r="B245" s="1">
        <v>45052</v>
      </c>
      <c r="C245" t="s">
        <v>3</v>
      </c>
      <c r="D245" t="s">
        <v>8</v>
      </c>
      <c r="E245">
        <v>14</v>
      </c>
      <c r="F245" t="s">
        <v>3</v>
      </c>
      <c r="G245" t="s">
        <v>11</v>
      </c>
      <c r="H245" t="s">
        <v>22</v>
      </c>
      <c r="I245" t="s">
        <v>16</v>
      </c>
      <c r="J245" t="str">
        <f>IF(Sheet1!$I245="Chennai","Home","Away")</f>
        <v>Home</v>
      </c>
    </row>
    <row r="246" spans="1:10" x14ac:dyDescent="0.3">
      <c r="A246">
        <f>YEAR(Sheet1!$B246)</f>
        <v>2023</v>
      </c>
      <c r="B246" s="1">
        <v>45056</v>
      </c>
      <c r="C246" t="s">
        <v>3</v>
      </c>
      <c r="D246" t="s">
        <v>34</v>
      </c>
      <c r="F246" t="s">
        <v>3</v>
      </c>
      <c r="G246" t="s">
        <v>2</v>
      </c>
      <c r="H246" t="s">
        <v>29</v>
      </c>
      <c r="I246" t="s">
        <v>16</v>
      </c>
      <c r="J246" t="str">
        <f>IF(Sheet1!$I246="Chennai","Home","Away")</f>
        <v>Home</v>
      </c>
    </row>
    <row r="247" spans="1:10" x14ac:dyDescent="0.3">
      <c r="A247">
        <f>YEAR(Sheet1!$B247)</f>
        <v>2023</v>
      </c>
      <c r="B247" s="1">
        <v>45060</v>
      </c>
      <c r="C247" t="s">
        <v>7</v>
      </c>
      <c r="D247" t="s">
        <v>8</v>
      </c>
      <c r="E247">
        <v>9</v>
      </c>
      <c r="F247" t="s">
        <v>3</v>
      </c>
      <c r="G247" t="s">
        <v>2</v>
      </c>
      <c r="H247" t="s">
        <v>10</v>
      </c>
      <c r="I247" t="s">
        <v>16</v>
      </c>
      <c r="J247" t="str">
        <f>IF(Sheet1!$I247="Chennai","Home","Away")</f>
        <v>Home</v>
      </c>
    </row>
    <row r="248" spans="1:10" x14ac:dyDescent="0.3">
      <c r="A248">
        <f>YEAR(Sheet1!$B248)</f>
        <v>2023</v>
      </c>
      <c r="B248" s="1">
        <v>45066</v>
      </c>
      <c r="C248" t="s">
        <v>3</v>
      </c>
      <c r="D248" t="s">
        <v>45</v>
      </c>
      <c r="F248" t="s">
        <v>3</v>
      </c>
      <c r="G248" t="s">
        <v>2</v>
      </c>
      <c r="H248" t="s">
        <v>29</v>
      </c>
      <c r="I248" t="s">
        <v>5</v>
      </c>
      <c r="J248" t="str">
        <f>IF(Sheet1!$I248="Chennai","Home","Away")</f>
        <v>Away</v>
      </c>
    </row>
    <row r="249" spans="1:10" x14ac:dyDescent="0.3">
      <c r="A249">
        <f>YEAR(Sheet1!$B249)</f>
        <v>2023</v>
      </c>
      <c r="B249" s="1">
        <v>45069</v>
      </c>
      <c r="C249" t="s">
        <v>3</v>
      </c>
      <c r="D249" t="s">
        <v>44</v>
      </c>
      <c r="F249" t="s">
        <v>7</v>
      </c>
      <c r="G249" t="s">
        <v>2</v>
      </c>
      <c r="H249" t="s">
        <v>1</v>
      </c>
      <c r="I249" t="s">
        <v>16</v>
      </c>
      <c r="J249" t="str">
        <f>IF(Sheet1!$I249="Chennai","Home","Away")</f>
        <v>Home</v>
      </c>
    </row>
    <row r="250" spans="1:10" x14ac:dyDescent="0.3">
      <c r="A250">
        <f>YEAR(Sheet1!$B250)</f>
        <v>2023</v>
      </c>
      <c r="B250" s="1">
        <v>45074</v>
      </c>
      <c r="C250" t="s">
        <v>3</v>
      </c>
      <c r="D250" t="s">
        <v>20</v>
      </c>
      <c r="E250">
        <v>0</v>
      </c>
      <c r="F250" t="s">
        <v>3</v>
      </c>
      <c r="G250" t="s">
        <v>11</v>
      </c>
      <c r="H250" t="s">
        <v>1</v>
      </c>
      <c r="I250" t="s">
        <v>0</v>
      </c>
      <c r="J250" t="str">
        <f>IF(Sheet1!$I250="Chennai","Home","Away")</f>
        <v>Away</v>
      </c>
    </row>
    <row r="251" spans="1:10" x14ac:dyDescent="0.3">
      <c r="A251">
        <f>YEAR(Sheet1!$B251)</f>
        <v>2024</v>
      </c>
      <c r="B251" s="1">
        <v>45373</v>
      </c>
      <c r="C251" t="s">
        <v>3</v>
      </c>
      <c r="D251" t="s">
        <v>8</v>
      </c>
      <c r="E251">
        <v>8</v>
      </c>
      <c r="F251" t="s">
        <v>7</v>
      </c>
      <c r="G251" t="s">
        <v>11</v>
      </c>
      <c r="H251" t="s">
        <v>14</v>
      </c>
      <c r="I251" t="s">
        <v>16</v>
      </c>
      <c r="J251" t="str">
        <f>IF(Sheet1!$I251="Chennai","Home","Away")</f>
        <v>Home</v>
      </c>
    </row>
    <row r="252" spans="1:10" x14ac:dyDescent="0.3">
      <c r="A252">
        <f>YEAR(Sheet1!$B252)</f>
        <v>2024</v>
      </c>
      <c r="B252" s="1">
        <v>45377</v>
      </c>
      <c r="C252" t="s">
        <v>3</v>
      </c>
      <c r="D252" t="s">
        <v>43</v>
      </c>
      <c r="F252" t="s">
        <v>7</v>
      </c>
      <c r="G252" t="s">
        <v>2</v>
      </c>
      <c r="H252" t="s">
        <v>1</v>
      </c>
      <c r="I252" t="s">
        <v>16</v>
      </c>
      <c r="J252" t="str">
        <f>IF(Sheet1!$I252="Chennai","Home","Away")</f>
        <v>Home</v>
      </c>
    </row>
    <row r="253" spans="1:10" x14ac:dyDescent="0.3">
      <c r="A253">
        <f>YEAR(Sheet1!$B253)</f>
        <v>2024</v>
      </c>
      <c r="B253" s="1">
        <v>45382</v>
      </c>
      <c r="C253" t="s">
        <v>7</v>
      </c>
      <c r="D253" t="s">
        <v>40</v>
      </c>
      <c r="F253" t="s">
        <v>7</v>
      </c>
      <c r="G253" t="s">
        <v>11</v>
      </c>
      <c r="H253" t="s">
        <v>29</v>
      </c>
      <c r="I253" t="s">
        <v>42</v>
      </c>
      <c r="J253" t="str">
        <f>IF(Sheet1!$I253="Chennai","Home","Away")</f>
        <v>Away</v>
      </c>
    </row>
    <row r="254" spans="1:10" x14ac:dyDescent="0.3">
      <c r="A254">
        <f>YEAR(Sheet1!$B254)</f>
        <v>2024</v>
      </c>
      <c r="B254" s="1">
        <v>45387</v>
      </c>
      <c r="C254" t="s">
        <v>7</v>
      </c>
      <c r="D254" t="s">
        <v>8</v>
      </c>
      <c r="E254">
        <v>11</v>
      </c>
      <c r="F254" t="s">
        <v>7</v>
      </c>
      <c r="G254" t="s">
        <v>2</v>
      </c>
      <c r="H254" t="s">
        <v>19</v>
      </c>
      <c r="I254" t="s">
        <v>41</v>
      </c>
      <c r="J254" t="str">
        <f>IF(Sheet1!$I254="Chennai","Home","Away")</f>
        <v>Away</v>
      </c>
    </row>
    <row r="255" spans="1:10" x14ac:dyDescent="0.3">
      <c r="A255">
        <f>YEAR(Sheet1!$B255)</f>
        <v>2024</v>
      </c>
      <c r="B255" s="1">
        <v>45390</v>
      </c>
      <c r="C255" t="s">
        <v>3</v>
      </c>
      <c r="D255" t="s">
        <v>38</v>
      </c>
      <c r="E255">
        <v>14</v>
      </c>
      <c r="F255" t="s">
        <v>3</v>
      </c>
      <c r="G255" t="s">
        <v>11</v>
      </c>
      <c r="H255" t="s">
        <v>10</v>
      </c>
      <c r="I255" t="s">
        <v>16</v>
      </c>
      <c r="J255" t="str">
        <f>IF(Sheet1!$I255="Chennai","Home","Away")</f>
        <v>Home</v>
      </c>
    </row>
    <row r="256" spans="1:10" x14ac:dyDescent="0.3">
      <c r="A256">
        <f>YEAR(Sheet1!$B256)</f>
        <v>2024</v>
      </c>
      <c r="B256" s="1">
        <v>45396</v>
      </c>
      <c r="C256" t="s">
        <v>3</v>
      </c>
      <c r="D256" t="s">
        <v>40</v>
      </c>
      <c r="F256" t="s">
        <v>7</v>
      </c>
      <c r="G256" t="s">
        <v>2</v>
      </c>
      <c r="H256" t="s">
        <v>22</v>
      </c>
      <c r="I256" t="s">
        <v>21</v>
      </c>
      <c r="J256" t="str">
        <f>IF(Sheet1!$I256="Chennai","Home","Away")</f>
        <v>Away</v>
      </c>
    </row>
    <row r="257" spans="1:10" x14ac:dyDescent="0.3">
      <c r="A257">
        <f>YEAR(Sheet1!$B257)</f>
        <v>2024</v>
      </c>
      <c r="B257" s="1">
        <v>45401</v>
      </c>
      <c r="C257" t="s">
        <v>7</v>
      </c>
      <c r="D257" t="s">
        <v>26</v>
      </c>
      <c r="E257">
        <v>6</v>
      </c>
      <c r="F257" t="s">
        <v>7</v>
      </c>
      <c r="G257" t="s">
        <v>2</v>
      </c>
      <c r="H257" t="s">
        <v>25</v>
      </c>
      <c r="I257" t="s">
        <v>24</v>
      </c>
      <c r="J257" t="str">
        <f>IF(Sheet1!$I257="Chennai","Home","Away")</f>
        <v>Away</v>
      </c>
    </row>
    <row r="258" spans="1:10" x14ac:dyDescent="0.3">
      <c r="A258">
        <f>YEAR(Sheet1!$B258)</f>
        <v>2024</v>
      </c>
      <c r="B258" s="1">
        <v>45405</v>
      </c>
      <c r="C258" t="s">
        <v>7</v>
      </c>
      <c r="D258" t="s">
        <v>8</v>
      </c>
      <c r="E258">
        <v>3</v>
      </c>
      <c r="F258" t="s">
        <v>7</v>
      </c>
      <c r="G258" t="s">
        <v>2</v>
      </c>
      <c r="H258" t="s">
        <v>25</v>
      </c>
      <c r="I258" t="s">
        <v>16</v>
      </c>
      <c r="J258" t="str">
        <f>IF(Sheet1!$I258="Chennai","Home","Away")</f>
        <v>Home</v>
      </c>
    </row>
    <row r="259" spans="1:10" x14ac:dyDescent="0.3">
      <c r="A259">
        <f>YEAR(Sheet1!$B259)</f>
        <v>2024</v>
      </c>
      <c r="B259" s="1">
        <v>45410</v>
      </c>
      <c r="C259" t="s">
        <v>3</v>
      </c>
      <c r="D259" t="s">
        <v>39</v>
      </c>
      <c r="F259" t="s">
        <v>7</v>
      </c>
      <c r="G259" t="s">
        <v>2</v>
      </c>
      <c r="H259" t="s">
        <v>19</v>
      </c>
      <c r="I259" t="s">
        <v>16</v>
      </c>
      <c r="J259" t="str">
        <f>IF(Sheet1!$I259="Chennai","Home","Away")</f>
        <v>Home</v>
      </c>
    </row>
    <row r="260" spans="1:10" x14ac:dyDescent="0.3">
      <c r="A260">
        <f>YEAR(Sheet1!$B260)</f>
        <v>2024</v>
      </c>
      <c r="B260" s="1">
        <v>45413</v>
      </c>
      <c r="C260" t="s">
        <v>7</v>
      </c>
      <c r="D260" t="s">
        <v>38</v>
      </c>
      <c r="E260">
        <v>13</v>
      </c>
      <c r="F260" t="s">
        <v>7</v>
      </c>
      <c r="G260" t="s">
        <v>2</v>
      </c>
      <c r="H260" t="s">
        <v>17</v>
      </c>
      <c r="I260" t="s">
        <v>16</v>
      </c>
      <c r="J260" t="str">
        <f>IF(Sheet1!$I260="Chennai","Home","Away")</f>
        <v>Home</v>
      </c>
    </row>
    <row r="261" spans="1:10" x14ac:dyDescent="0.3">
      <c r="A261">
        <f>YEAR(Sheet1!$B261)</f>
        <v>2024</v>
      </c>
      <c r="B261" s="1">
        <v>45417</v>
      </c>
      <c r="C261" t="s">
        <v>3</v>
      </c>
      <c r="D261" t="s">
        <v>37</v>
      </c>
      <c r="F261" t="s">
        <v>7</v>
      </c>
      <c r="G261" t="s">
        <v>2</v>
      </c>
      <c r="H261" t="s">
        <v>17</v>
      </c>
      <c r="I261" t="s">
        <v>36</v>
      </c>
      <c r="J261" t="str">
        <f>IF(Sheet1!$I261="Chennai","Home","Away")</f>
        <v>Away</v>
      </c>
    </row>
    <row r="262" spans="1:10" x14ac:dyDescent="0.3">
      <c r="A262">
        <f>YEAR(Sheet1!$B262)</f>
        <v>2024</v>
      </c>
      <c r="B262" s="1">
        <v>45422</v>
      </c>
      <c r="C262" t="s">
        <v>7</v>
      </c>
      <c r="D262" t="s">
        <v>35</v>
      </c>
      <c r="F262" t="s">
        <v>3</v>
      </c>
      <c r="G262" t="s">
        <v>11</v>
      </c>
      <c r="H262" t="s">
        <v>1</v>
      </c>
      <c r="I262" t="s">
        <v>0</v>
      </c>
      <c r="J262" t="str">
        <f>IF(Sheet1!$I262="Chennai","Home","Away")</f>
        <v>Away</v>
      </c>
    </row>
    <row r="263" spans="1:10" x14ac:dyDescent="0.3">
      <c r="A263">
        <f>YEAR(Sheet1!$B263)</f>
        <v>2024</v>
      </c>
      <c r="B263" s="1">
        <v>45424</v>
      </c>
      <c r="C263" t="s">
        <v>3</v>
      </c>
      <c r="D263" t="s">
        <v>20</v>
      </c>
      <c r="E263">
        <v>10</v>
      </c>
      <c r="F263" t="s">
        <v>7</v>
      </c>
      <c r="G263" t="s">
        <v>11</v>
      </c>
      <c r="H263" t="s">
        <v>6</v>
      </c>
      <c r="I263" t="s">
        <v>16</v>
      </c>
      <c r="J263" t="str">
        <f>IF(Sheet1!$I263="Chennai","Home","Away")</f>
        <v>Home</v>
      </c>
    </row>
    <row r="264" spans="1:10" x14ac:dyDescent="0.3">
      <c r="A264">
        <f>YEAR(Sheet1!$B264)</f>
        <v>2024</v>
      </c>
      <c r="B264" s="1">
        <v>45430</v>
      </c>
      <c r="C264" t="s">
        <v>7</v>
      </c>
      <c r="D264" t="s">
        <v>34</v>
      </c>
      <c r="F264" t="s">
        <v>3</v>
      </c>
      <c r="G264" t="s">
        <v>11</v>
      </c>
      <c r="H264" t="s">
        <v>14</v>
      </c>
      <c r="I264" t="s">
        <v>13</v>
      </c>
      <c r="J264" t="str">
        <f>IF(Sheet1!$I264="Chennai","Home","Away")</f>
        <v>Away</v>
      </c>
    </row>
    <row r="265" spans="1:10" x14ac:dyDescent="0.3">
      <c r="A265">
        <f>YEAR(Sheet1!$B265)</f>
        <v>2025</v>
      </c>
      <c r="B265" s="1">
        <v>45739</v>
      </c>
      <c r="C265" t="s">
        <v>3</v>
      </c>
      <c r="D265" t="s">
        <v>18</v>
      </c>
      <c r="E265">
        <v>5</v>
      </c>
      <c r="F265" t="s">
        <v>3</v>
      </c>
      <c r="G265" t="s">
        <v>11</v>
      </c>
      <c r="H265" t="s">
        <v>22</v>
      </c>
      <c r="I265" t="s">
        <v>16</v>
      </c>
      <c r="J265" t="str">
        <f>IF(Sheet1!$I265="Chennai","Home","Away")</f>
        <v>Home</v>
      </c>
    </row>
    <row r="266" spans="1:10" x14ac:dyDescent="0.3">
      <c r="A266">
        <f>YEAR(Sheet1!$B266)</f>
        <v>2025</v>
      </c>
      <c r="B266" s="1">
        <v>45744</v>
      </c>
      <c r="C266" t="s">
        <v>7</v>
      </c>
      <c r="D266" t="s">
        <v>33</v>
      </c>
      <c r="F266" t="s">
        <v>3</v>
      </c>
      <c r="G266" t="s">
        <v>11</v>
      </c>
      <c r="H266" t="s">
        <v>14</v>
      </c>
      <c r="I266" t="s">
        <v>16</v>
      </c>
      <c r="J266" t="str">
        <f>IF(Sheet1!$I266="Chennai","Home","Away")</f>
        <v>Home</v>
      </c>
    </row>
    <row r="267" spans="1:10" x14ac:dyDescent="0.3">
      <c r="A267">
        <f>YEAR(Sheet1!$B267)</f>
        <v>2025</v>
      </c>
      <c r="B267" s="1">
        <v>45746</v>
      </c>
      <c r="C267" t="s">
        <v>7</v>
      </c>
      <c r="D267" t="s">
        <v>32</v>
      </c>
      <c r="F267" t="s">
        <v>3</v>
      </c>
      <c r="G267" t="s">
        <v>11</v>
      </c>
      <c r="H267" t="s">
        <v>6</v>
      </c>
      <c r="I267" t="s">
        <v>31</v>
      </c>
      <c r="J267" t="str">
        <f>IF(Sheet1!$I267="Chennai","Home","Away")</f>
        <v>Away</v>
      </c>
    </row>
    <row r="268" spans="1:10" x14ac:dyDescent="0.3">
      <c r="A268">
        <f>YEAR(Sheet1!$B268)</f>
        <v>2025</v>
      </c>
      <c r="B268" s="1">
        <v>45752</v>
      </c>
      <c r="C268" t="s">
        <v>7</v>
      </c>
      <c r="D268" t="s">
        <v>30</v>
      </c>
      <c r="F268" t="s">
        <v>7</v>
      </c>
      <c r="G268" t="s">
        <v>11</v>
      </c>
      <c r="H268" t="s">
        <v>29</v>
      </c>
      <c r="I268" t="s">
        <v>16</v>
      </c>
      <c r="J268" t="str">
        <f>IF(Sheet1!$I268="Chennai","Home","Away")</f>
        <v>Home</v>
      </c>
    </row>
    <row r="269" spans="1:10" x14ac:dyDescent="0.3">
      <c r="A269">
        <f>YEAR(Sheet1!$B269)</f>
        <v>2025</v>
      </c>
      <c r="B269" s="1">
        <v>45755</v>
      </c>
      <c r="C269" t="s">
        <v>7</v>
      </c>
      <c r="D269" t="s">
        <v>28</v>
      </c>
      <c r="F269" t="s">
        <v>7</v>
      </c>
      <c r="G269" t="s">
        <v>11</v>
      </c>
      <c r="H269" t="s">
        <v>17</v>
      </c>
      <c r="I269" t="s">
        <v>27</v>
      </c>
      <c r="J269" t="str">
        <f>IF(Sheet1!$I269="Chennai","Home","Away")</f>
        <v>Away</v>
      </c>
    </row>
    <row r="270" spans="1:10" x14ac:dyDescent="0.3">
      <c r="A270">
        <f>YEAR(Sheet1!$B270)</f>
        <v>2025</v>
      </c>
      <c r="B270" s="1">
        <v>45758</v>
      </c>
      <c r="C270" t="s">
        <v>7</v>
      </c>
      <c r="D270" t="s">
        <v>26</v>
      </c>
      <c r="E270">
        <v>59</v>
      </c>
      <c r="F270" t="s">
        <v>7</v>
      </c>
      <c r="G270" t="s">
        <v>2</v>
      </c>
      <c r="H270" t="s">
        <v>10</v>
      </c>
      <c r="I270" t="s">
        <v>16</v>
      </c>
      <c r="J270" t="str">
        <f>IF(Sheet1!$I270="Chennai","Home","Away")</f>
        <v>Home</v>
      </c>
    </row>
    <row r="271" spans="1:10" x14ac:dyDescent="0.3">
      <c r="A271">
        <f>YEAR(Sheet1!$B271)</f>
        <v>2025</v>
      </c>
      <c r="B271" s="1">
        <v>45761</v>
      </c>
      <c r="C271" t="s">
        <v>3</v>
      </c>
      <c r="D271" t="s">
        <v>20</v>
      </c>
      <c r="E271">
        <v>3</v>
      </c>
      <c r="F271" t="s">
        <v>3</v>
      </c>
      <c r="G271" t="s">
        <v>11</v>
      </c>
      <c r="H271" t="s">
        <v>25</v>
      </c>
      <c r="I271" t="s">
        <v>24</v>
      </c>
      <c r="J271" t="str">
        <f>IF(Sheet1!$I271="Chennai","Home","Away")</f>
        <v>Away</v>
      </c>
    </row>
    <row r="272" spans="1:10" x14ac:dyDescent="0.3">
      <c r="A272">
        <f>YEAR(Sheet1!$B272)</f>
        <v>2025</v>
      </c>
      <c r="B272" s="1">
        <v>45767</v>
      </c>
      <c r="C272" t="s">
        <v>7</v>
      </c>
      <c r="D272" t="s">
        <v>23</v>
      </c>
      <c r="E272">
        <v>26</v>
      </c>
      <c r="F272" t="s">
        <v>7</v>
      </c>
      <c r="G272" t="s">
        <v>2</v>
      </c>
      <c r="H272" t="s">
        <v>22</v>
      </c>
      <c r="I272" t="s">
        <v>21</v>
      </c>
      <c r="J272" t="str">
        <f>IF(Sheet1!$I272="Chennai","Home","Away")</f>
        <v>Away</v>
      </c>
    </row>
    <row r="273" spans="1:10" x14ac:dyDescent="0.3">
      <c r="A273">
        <f>YEAR(Sheet1!$B273)</f>
        <v>2025</v>
      </c>
      <c r="B273" s="1">
        <v>45772</v>
      </c>
      <c r="C273" t="s">
        <v>7</v>
      </c>
      <c r="D273" t="s">
        <v>20</v>
      </c>
      <c r="E273">
        <v>8</v>
      </c>
      <c r="F273" t="s">
        <v>7</v>
      </c>
      <c r="G273" t="s">
        <v>2</v>
      </c>
      <c r="H273" t="s">
        <v>19</v>
      </c>
      <c r="I273" t="s">
        <v>16</v>
      </c>
      <c r="J273" t="str">
        <f>IF(Sheet1!$I273="Chennai","Home","Away")</f>
        <v>Home</v>
      </c>
    </row>
    <row r="274" spans="1:10" x14ac:dyDescent="0.3">
      <c r="A274">
        <f>YEAR(Sheet1!$B274)</f>
        <v>2025</v>
      </c>
      <c r="B274" s="1">
        <v>45777</v>
      </c>
      <c r="C274" t="s">
        <v>7</v>
      </c>
      <c r="D274" t="s">
        <v>18</v>
      </c>
      <c r="E274">
        <v>2</v>
      </c>
      <c r="F274" t="s">
        <v>7</v>
      </c>
      <c r="G274" t="s">
        <v>2</v>
      </c>
      <c r="H274" t="s">
        <v>17</v>
      </c>
      <c r="I274" t="s">
        <v>16</v>
      </c>
      <c r="J274" t="str">
        <f>IF(Sheet1!$I274="Chennai","Home","Away")</f>
        <v>Home</v>
      </c>
    </row>
    <row r="275" spans="1:10" x14ac:dyDescent="0.3">
      <c r="A275">
        <f>YEAR(Sheet1!$B275)</f>
        <v>2025</v>
      </c>
      <c r="B275" s="1">
        <v>45780</v>
      </c>
      <c r="C275" t="s">
        <v>7</v>
      </c>
      <c r="D275" t="s">
        <v>15</v>
      </c>
      <c r="F275" t="s">
        <v>3</v>
      </c>
      <c r="G275" t="s">
        <v>11</v>
      </c>
      <c r="H275" t="s">
        <v>14</v>
      </c>
      <c r="I275" t="s">
        <v>13</v>
      </c>
      <c r="J275" t="str">
        <f>IF(Sheet1!$I275="Chennai","Home","Away")</f>
        <v>Away</v>
      </c>
    </row>
    <row r="276" spans="1:10" x14ac:dyDescent="0.3">
      <c r="A276">
        <f>YEAR(Sheet1!$B276)</f>
        <v>2025</v>
      </c>
      <c r="B276" s="1">
        <v>45784</v>
      </c>
      <c r="C276" t="s">
        <v>3</v>
      </c>
      <c r="D276" t="s">
        <v>12</v>
      </c>
      <c r="E276">
        <v>2</v>
      </c>
      <c r="F276" t="s">
        <v>7</v>
      </c>
      <c r="G276" t="s">
        <v>11</v>
      </c>
      <c r="H276" t="s">
        <v>10</v>
      </c>
      <c r="I276" t="s">
        <v>9</v>
      </c>
      <c r="J276" t="str">
        <f>IF(Sheet1!$I276="Chennai","Home","Away")</f>
        <v>Away</v>
      </c>
    </row>
    <row r="277" spans="1:10" x14ac:dyDescent="0.3">
      <c r="A277">
        <f>YEAR(Sheet1!$B277)</f>
        <v>2025</v>
      </c>
      <c r="B277" s="1">
        <v>45797</v>
      </c>
      <c r="C277" t="s">
        <v>7</v>
      </c>
      <c r="D277" t="s">
        <v>8</v>
      </c>
      <c r="E277">
        <v>17</v>
      </c>
      <c r="F277" t="s">
        <v>7</v>
      </c>
      <c r="G277" t="s">
        <v>2</v>
      </c>
      <c r="H277" t="s">
        <v>6</v>
      </c>
      <c r="I277" t="s">
        <v>5</v>
      </c>
      <c r="J277" t="str">
        <f>IF(Sheet1!$I277="Chennai","Home","Away")</f>
        <v>Away</v>
      </c>
    </row>
    <row r="278" spans="1:10" x14ac:dyDescent="0.3">
      <c r="A278">
        <f>YEAR(Sheet1!$B278)</f>
        <v>2025</v>
      </c>
      <c r="B278" s="1">
        <v>45802</v>
      </c>
      <c r="C278" t="s">
        <v>3</v>
      </c>
      <c r="D278" t="s">
        <v>4</v>
      </c>
      <c r="F278" t="s">
        <v>3</v>
      </c>
      <c r="G278" t="s">
        <v>2</v>
      </c>
      <c r="H278" t="s">
        <v>1</v>
      </c>
      <c r="I278" t="s">
        <v>0</v>
      </c>
      <c r="J278" t="str">
        <f>IF(Sheet1!$I278="Chennai","Home","Away")</f>
        <v>Away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UTHAYANITHI U</dc:creator>
  <cp:lastModifiedBy>UTHAYANITHI U</cp:lastModifiedBy>
  <dcterms:created xsi:type="dcterms:W3CDTF">2025-11-05T14:39:54Z</dcterms:created>
  <dcterms:modified xsi:type="dcterms:W3CDTF">2025-11-05T14:41:06Z</dcterms:modified>
</cp:coreProperties>
</file>