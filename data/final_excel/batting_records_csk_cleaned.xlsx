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Data Analytics\Projects\csk_analysis\data\final_excel\"/>
    </mc:Choice>
  </mc:AlternateContent>
  <xr:revisionPtr revIDLastSave="0" documentId="13_ncr:1_{F5473862-00E4-40D0-9BA5-6259EE264EA5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Season_2008" sheetId="1" r:id="rId1"/>
    <sheet name="Season_2009" sheetId="2" r:id="rId2"/>
    <sheet name="Season_2010" sheetId="3" r:id="rId3"/>
    <sheet name="Season_2011" sheetId="4" r:id="rId4"/>
    <sheet name="Season_2012" sheetId="5" r:id="rId5"/>
    <sheet name="Season_2013" sheetId="6" r:id="rId6"/>
    <sheet name="Season_2014" sheetId="7" r:id="rId7"/>
    <sheet name="Season_2015" sheetId="8" r:id="rId8"/>
    <sheet name="Season_2018" sheetId="9" r:id="rId9"/>
    <sheet name="Season_2019" sheetId="10" r:id="rId10"/>
    <sheet name="Season_2020" sheetId="11" r:id="rId11"/>
    <sheet name="Season_2021" sheetId="12" r:id="rId12"/>
    <sheet name="Season_2022" sheetId="13" r:id="rId13"/>
    <sheet name="Season_2023" sheetId="14" r:id="rId14"/>
    <sheet name="Season_2024" sheetId="15" r:id="rId15"/>
    <sheet name="Season_2025" sheetId="16" r:id="rId16"/>
  </sheets>
  <calcPr calcId="191029"/>
</workbook>
</file>

<file path=xl/calcChain.xml><?xml version="1.0" encoding="utf-8"?>
<calcChain xmlns="http://schemas.openxmlformats.org/spreadsheetml/2006/main">
  <c r="K23" i="16" l="1"/>
  <c r="J23" i="16"/>
  <c r="K22" i="16"/>
  <c r="J22" i="16"/>
  <c r="K21" i="16"/>
  <c r="J21" i="16"/>
  <c r="K20" i="16"/>
  <c r="J20" i="16"/>
  <c r="K19" i="16"/>
  <c r="J19" i="16"/>
  <c r="K18" i="16"/>
  <c r="J18" i="16"/>
  <c r="K17" i="16"/>
  <c r="J17" i="16"/>
  <c r="K16" i="16"/>
  <c r="J16" i="16"/>
  <c r="K15" i="16"/>
  <c r="J15" i="16"/>
  <c r="K14" i="16"/>
  <c r="J14" i="16"/>
  <c r="K13" i="16"/>
  <c r="J13" i="16"/>
  <c r="K12" i="16"/>
  <c r="J12" i="16"/>
  <c r="K11" i="16"/>
  <c r="J11" i="16"/>
  <c r="K10" i="16"/>
  <c r="J10" i="16"/>
  <c r="K9" i="16"/>
  <c r="J9" i="16"/>
  <c r="K8" i="16"/>
  <c r="J8" i="16"/>
  <c r="K7" i="16"/>
  <c r="J7" i="16"/>
  <c r="K6" i="16"/>
  <c r="J6" i="16"/>
  <c r="K5" i="16"/>
  <c r="J5" i="16"/>
  <c r="K4" i="16"/>
  <c r="J4" i="16"/>
  <c r="K3" i="16"/>
  <c r="J3" i="16"/>
  <c r="K2" i="16"/>
  <c r="J2" i="16"/>
  <c r="K20" i="15"/>
  <c r="J20" i="15"/>
  <c r="K19" i="15"/>
  <c r="J19" i="15"/>
  <c r="K18" i="15"/>
  <c r="J18" i="15"/>
  <c r="K17" i="15"/>
  <c r="J17" i="15"/>
  <c r="K16" i="15"/>
  <c r="J16" i="15"/>
  <c r="K15" i="15"/>
  <c r="J15" i="15"/>
  <c r="K14" i="15"/>
  <c r="J14" i="15"/>
  <c r="K13" i="15"/>
  <c r="J13" i="15"/>
  <c r="K12" i="15"/>
  <c r="J12" i="15"/>
  <c r="K11" i="15"/>
  <c r="J11" i="15"/>
  <c r="K10" i="15"/>
  <c r="J10" i="15"/>
  <c r="K9" i="15"/>
  <c r="J9" i="15"/>
  <c r="K8" i="15"/>
  <c r="J8" i="15"/>
  <c r="K7" i="15"/>
  <c r="J7" i="15"/>
  <c r="K6" i="15"/>
  <c r="J6" i="15"/>
  <c r="K5" i="15"/>
  <c r="J5" i="15"/>
  <c r="K4" i="15"/>
  <c r="J4" i="15"/>
  <c r="K3" i="15"/>
  <c r="J3" i="15"/>
  <c r="K2" i="15"/>
  <c r="J2" i="15"/>
  <c r="K19" i="14"/>
  <c r="J19" i="14"/>
  <c r="K18" i="14"/>
  <c r="J18" i="14"/>
  <c r="K17" i="14"/>
  <c r="J17" i="14"/>
  <c r="K16" i="14"/>
  <c r="J16" i="14"/>
  <c r="K15" i="14"/>
  <c r="J15" i="14"/>
  <c r="K14" i="14"/>
  <c r="J14" i="14"/>
  <c r="K13" i="14"/>
  <c r="J13" i="14"/>
  <c r="K12" i="14"/>
  <c r="J12" i="14"/>
  <c r="K11" i="14"/>
  <c r="J11" i="14"/>
  <c r="K10" i="14"/>
  <c r="J10" i="14"/>
  <c r="K9" i="14"/>
  <c r="J9" i="14"/>
  <c r="K8" i="14"/>
  <c r="J8" i="14"/>
  <c r="K7" i="14"/>
  <c r="J7" i="14"/>
  <c r="K6" i="14"/>
  <c r="J6" i="14"/>
  <c r="K5" i="14"/>
  <c r="J5" i="14"/>
  <c r="K4" i="14"/>
  <c r="J4" i="14"/>
  <c r="K3" i="14"/>
  <c r="J3" i="14"/>
  <c r="K2" i="14"/>
  <c r="J2" i="14"/>
  <c r="K21" i="13"/>
  <c r="J21" i="13"/>
  <c r="K20" i="13"/>
  <c r="J20" i="13"/>
  <c r="K19" i="13"/>
  <c r="J19" i="13"/>
  <c r="K18" i="13"/>
  <c r="J18" i="13"/>
  <c r="K17" i="13"/>
  <c r="J17" i="13"/>
  <c r="K16" i="13"/>
  <c r="J16" i="13"/>
  <c r="K15" i="13"/>
  <c r="J15" i="13"/>
  <c r="K14" i="13"/>
  <c r="J14" i="13"/>
  <c r="K13" i="13"/>
  <c r="J13" i="13"/>
  <c r="K12" i="13"/>
  <c r="J12" i="13"/>
  <c r="K11" i="13"/>
  <c r="J11" i="13"/>
  <c r="K10" i="13"/>
  <c r="J10" i="13"/>
  <c r="K9" i="13"/>
  <c r="J9" i="13"/>
  <c r="K8" i="13"/>
  <c r="J8" i="13"/>
  <c r="K7" i="13"/>
  <c r="J7" i="13"/>
  <c r="K6" i="13"/>
  <c r="J6" i="13"/>
  <c r="K5" i="13"/>
  <c r="J5" i="13"/>
  <c r="K4" i="13"/>
  <c r="J4" i="13"/>
  <c r="K3" i="13"/>
  <c r="J3" i="13"/>
  <c r="K2" i="13"/>
  <c r="J2" i="13"/>
  <c r="K17" i="12"/>
  <c r="J17" i="12"/>
  <c r="K16" i="12"/>
  <c r="J16" i="12"/>
  <c r="K15" i="12"/>
  <c r="J15" i="12"/>
  <c r="K14" i="12"/>
  <c r="J14" i="12"/>
  <c r="K13" i="12"/>
  <c r="J13" i="12"/>
  <c r="K12" i="12"/>
  <c r="J12" i="12"/>
  <c r="K11" i="12"/>
  <c r="J11" i="12"/>
  <c r="K10" i="12"/>
  <c r="J10" i="12"/>
  <c r="K9" i="12"/>
  <c r="J9" i="12"/>
  <c r="K8" i="12"/>
  <c r="J8" i="12"/>
  <c r="K7" i="12"/>
  <c r="J7" i="12"/>
  <c r="K6" i="12"/>
  <c r="J6" i="12"/>
  <c r="K5" i="12"/>
  <c r="J5" i="12"/>
  <c r="K4" i="12"/>
  <c r="J4" i="12"/>
  <c r="K3" i="12"/>
  <c r="J3" i="12"/>
  <c r="K2" i="12"/>
  <c r="J2" i="12"/>
  <c r="K21" i="11"/>
  <c r="J21" i="11"/>
  <c r="K20" i="11"/>
  <c r="J20" i="11"/>
  <c r="K19" i="11"/>
  <c r="J19" i="11"/>
  <c r="K18" i="11"/>
  <c r="J18" i="11"/>
  <c r="K17" i="11"/>
  <c r="J17" i="11"/>
  <c r="K16" i="11"/>
  <c r="J16" i="11"/>
  <c r="K15" i="11"/>
  <c r="J15" i="11"/>
  <c r="K14" i="11"/>
  <c r="J14" i="11"/>
  <c r="K13" i="11"/>
  <c r="J13" i="11"/>
  <c r="K12" i="11"/>
  <c r="J12" i="11"/>
  <c r="K11" i="11"/>
  <c r="J11" i="11"/>
  <c r="K10" i="11"/>
  <c r="J10" i="11"/>
  <c r="K9" i="11"/>
  <c r="J9" i="11"/>
  <c r="K8" i="11"/>
  <c r="J8" i="11"/>
  <c r="K7" i="11"/>
  <c r="J7" i="11"/>
  <c r="K6" i="11"/>
  <c r="J6" i="11"/>
  <c r="K5" i="11"/>
  <c r="J5" i="11"/>
  <c r="K4" i="11"/>
  <c r="J4" i="11"/>
  <c r="K3" i="11"/>
  <c r="J3" i="11"/>
  <c r="K2" i="11"/>
  <c r="J2" i="11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K5" i="10"/>
  <c r="J5" i="10"/>
  <c r="K4" i="10"/>
  <c r="J4" i="10"/>
  <c r="K3" i="10"/>
  <c r="J3" i="10"/>
  <c r="K2" i="10"/>
  <c r="J2" i="10"/>
  <c r="K21" i="9"/>
  <c r="J21" i="9"/>
  <c r="K20" i="9"/>
  <c r="J20" i="9"/>
  <c r="K19" i="9"/>
  <c r="J19" i="9"/>
  <c r="K18" i="9"/>
  <c r="J18" i="9"/>
  <c r="K17" i="9"/>
  <c r="J17" i="9"/>
  <c r="K16" i="9"/>
  <c r="J16" i="9"/>
  <c r="K15" i="9"/>
  <c r="J15" i="9"/>
  <c r="K14" i="9"/>
  <c r="J14" i="9"/>
  <c r="K13" i="9"/>
  <c r="J13" i="9"/>
  <c r="K12" i="9"/>
  <c r="J12" i="9"/>
  <c r="K11" i="9"/>
  <c r="J11" i="9"/>
  <c r="K10" i="9"/>
  <c r="J10" i="9"/>
  <c r="K9" i="9"/>
  <c r="J9" i="9"/>
  <c r="K8" i="9"/>
  <c r="J8" i="9"/>
  <c r="K7" i="9"/>
  <c r="J7" i="9"/>
  <c r="K6" i="9"/>
  <c r="J6" i="9"/>
  <c r="K5" i="9"/>
  <c r="J5" i="9"/>
  <c r="K4" i="9"/>
  <c r="J4" i="9"/>
  <c r="K3" i="9"/>
  <c r="J3" i="9"/>
  <c r="K2" i="9"/>
  <c r="J2" i="9"/>
  <c r="K15" i="8"/>
  <c r="J15" i="8"/>
  <c r="K14" i="8"/>
  <c r="J14" i="8"/>
  <c r="K13" i="8"/>
  <c r="J13" i="8"/>
  <c r="K12" i="8"/>
  <c r="J12" i="8"/>
  <c r="K11" i="8"/>
  <c r="J11" i="8"/>
  <c r="K10" i="8"/>
  <c r="J10" i="8"/>
  <c r="K9" i="8"/>
  <c r="J9" i="8"/>
  <c r="K8" i="8"/>
  <c r="J8" i="8"/>
  <c r="K7" i="8"/>
  <c r="J7" i="8"/>
  <c r="K6" i="8"/>
  <c r="J6" i="8"/>
  <c r="K5" i="8"/>
  <c r="J5" i="8"/>
  <c r="K4" i="8"/>
  <c r="J4" i="8"/>
  <c r="K3" i="8"/>
  <c r="J3" i="8"/>
  <c r="K2" i="8"/>
  <c r="J2" i="8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K2" i="7"/>
  <c r="J2" i="7"/>
  <c r="K18" i="6"/>
  <c r="J18" i="6"/>
  <c r="K17" i="6"/>
  <c r="J17" i="6"/>
  <c r="K16" i="6"/>
  <c r="J16" i="6"/>
  <c r="K15" i="6"/>
  <c r="J15" i="6"/>
  <c r="K14" i="6"/>
  <c r="J14" i="6"/>
  <c r="K13" i="6"/>
  <c r="J13" i="6"/>
  <c r="K12" i="6"/>
  <c r="J12" i="6"/>
  <c r="K11" i="6"/>
  <c r="J11" i="6"/>
  <c r="K10" i="6"/>
  <c r="J10" i="6"/>
  <c r="K9" i="6"/>
  <c r="J9" i="6"/>
  <c r="K8" i="6"/>
  <c r="J8" i="6"/>
  <c r="K7" i="6"/>
  <c r="J7" i="6"/>
  <c r="K6" i="6"/>
  <c r="J6" i="6"/>
  <c r="K5" i="6"/>
  <c r="J5" i="6"/>
  <c r="K4" i="6"/>
  <c r="J4" i="6"/>
  <c r="K3" i="6"/>
  <c r="J3" i="6"/>
  <c r="K2" i="6"/>
  <c r="J2" i="6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J11" i="5"/>
  <c r="K10" i="5"/>
  <c r="J10" i="5"/>
  <c r="K9" i="5"/>
  <c r="J9" i="5"/>
  <c r="K8" i="5"/>
  <c r="J8" i="5"/>
  <c r="K7" i="5"/>
  <c r="J7" i="5"/>
  <c r="K6" i="5"/>
  <c r="J6" i="5"/>
  <c r="K5" i="5"/>
  <c r="J5" i="5"/>
  <c r="K4" i="5"/>
  <c r="J4" i="5"/>
  <c r="K3" i="5"/>
  <c r="J3" i="5"/>
  <c r="K2" i="5"/>
  <c r="J2" i="5"/>
  <c r="K18" i="4"/>
  <c r="J18" i="4"/>
  <c r="K17" i="4"/>
  <c r="J17" i="4"/>
  <c r="K16" i="4"/>
  <c r="J16" i="4"/>
  <c r="K15" i="4"/>
  <c r="J15" i="4"/>
  <c r="K14" i="4"/>
  <c r="J14" i="4"/>
  <c r="K13" i="4"/>
  <c r="J13" i="4"/>
  <c r="K12" i="4"/>
  <c r="J12" i="4"/>
  <c r="K11" i="4"/>
  <c r="J11" i="4"/>
  <c r="K10" i="4"/>
  <c r="J10" i="4"/>
  <c r="K9" i="4"/>
  <c r="J9" i="4"/>
  <c r="K8" i="4"/>
  <c r="J8" i="4"/>
  <c r="K7" i="4"/>
  <c r="J7" i="4"/>
  <c r="K6" i="4"/>
  <c r="J6" i="4"/>
  <c r="K5" i="4"/>
  <c r="J5" i="4"/>
  <c r="K4" i="4"/>
  <c r="J4" i="4"/>
  <c r="K3" i="4"/>
  <c r="J3" i="4"/>
  <c r="K2" i="4"/>
  <c r="J2" i="4"/>
  <c r="K24" i="3"/>
  <c r="J24" i="3"/>
  <c r="K23" i="3"/>
  <c r="J23" i="3"/>
  <c r="K22" i="3"/>
  <c r="J22" i="3"/>
  <c r="K21" i="3"/>
  <c r="J21" i="3"/>
  <c r="K20" i="3"/>
  <c r="J20" i="3"/>
  <c r="K19" i="3"/>
  <c r="J19" i="3"/>
  <c r="K18" i="3"/>
  <c r="J18" i="3"/>
  <c r="K17" i="3"/>
  <c r="J17" i="3"/>
  <c r="K16" i="3"/>
  <c r="J16" i="3"/>
  <c r="K15" i="3"/>
  <c r="J15" i="3"/>
  <c r="K14" i="3"/>
  <c r="J14" i="3"/>
  <c r="K13" i="3"/>
  <c r="J13" i="3"/>
  <c r="K12" i="3"/>
  <c r="J12" i="3"/>
  <c r="K11" i="3"/>
  <c r="J11" i="3"/>
  <c r="K10" i="3"/>
  <c r="J10" i="3"/>
  <c r="K9" i="3"/>
  <c r="J9" i="3"/>
  <c r="K8" i="3"/>
  <c r="J8" i="3"/>
  <c r="K7" i="3"/>
  <c r="J7" i="3"/>
  <c r="K6" i="3"/>
  <c r="J6" i="3"/>
  <c r="K5" i="3"/>
  <c r="J5" i="3"/>
  <c r="K4" i="3"/>
  <c r="J4" i="3"/>
  <c r="K3" i="3"/>
  <c r="J3" i="3"/>
  <c r="K2" i="3"/>
  <c r="J2" i="3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K2" i="1"/>
  <c r="J2" i="1"/>
</calcChain>
</file>

<file path=xl/sharedStrings.xml><?xml version="1.0" encoding="utf-8"?>
<sst xmlns="http://schemas.openxmlformats.org/spreadsheetml/2006/main" count="5056" uniqueCount="1030">
  <si>
    <t>Player_ID</t>
  </si>
  <si>
    <t>Player</t>
  </si>
  <si>
    <t>Full_Name</t>
  </si>
  <si>
    <t>Season</t>
  </si>
  <si>
    <t>Mat</t>
  </si>
  <si>
    <t>Inns</t>
  </si>
  <si>
    <t>NO</t>
  </si>
  <si>
    <t>Runs</t>
  </si>
  <si>
    <t>HS</t>
  </si>
  <si>
    <t>HS_Numeric</t>
  </si>
  <si>
    <t>Not_out_status</t>
  </si>
  <si>
    <t>Ave</t>
  </si>
  <si>
    <t>BF</t>
  </si>
  <si>
    <t>SR</t>
  </si>
  <si>
    <t>Fours</t>
  </si>
  <si>
    <t>Sixes</t>
  </si>
  <si>
    <t>Ducks</t>
  </si>
  <si>
    <t>Fifties</t>
  </si>
  <si>
    <t>Hundreds</t>
  </si>
  <si>
    <t>001</t>
  </si>
  <si>
    <t>SK Raina</t>
  </si>
  <si>
    <t>Suresh Kumar Raina</t>
  </si>
  <si>
    <t>16</t>
  </si>
  <si>
    <t>14</t>
  </si>
  <si>
    <t>3</t>
  </si>
  <si>
    <t>421</t>
  </si>
  <si>
    <t>55*</t>
  </si>
  <si>
    <t>38.27</t>
  </si>
  <si>
    <t>295</t>
  </si>
  <si>
    <t>142.71</t>
  </si>
  <si>
    <t>35</t>
  </si>
  <si>
    <t>18</t>
  </si>
  <si>
    <t>0</t>
  </si>
  <si>
    <t>002</t>
  </si>
  <si>
    <t>MS Dhoni</t>
  </si>
  <si>
    <t>Mahendra Singh Dhoni</t>
  </si>
  <si>
    <t>4</t>
  </si>
  <si>
    <t>414</t>
  </si>
  <si>
    <t>65</t>
  </si>
  <si>
    <t>41.40</t>
  </si>
  <si>
    <t>310</t>
  </si>
  <si>
    <t>133.54</t>
  </si>
  <si>
    <t>38</t>
  </si>
  <si>
    <t>15</t>
  </si>
  <si>
    <t>2</t>
  </si>
  <si>
    <t>003</t>
  </si>
  <si>
    <t>PA Patel</t>
  </si>
  <si>
    <t>Parthiv Ajay Patel</t>
  </si>
  <si>
    <t>13</t>
  </si>
  <si>
    <t>302</t>
  </si>
  <si>
    <t>54</t>
  </si>
  <si>
    <t>27.45</t>
  </si>
  <si>
    <t>297</t>
  </si>
  <si>
    <t>101.68</t>
  </si>
  <si>
    <t>42</t>
  </si>
  <si>
    <t>1</t>
  </si>
  <si>
    <t>004</t>
  </si>
  <si>
    <t>JA Morkel</t>
  </si>
  <si>
    <t>Jacobus "Albie" Morkel</t>
  </si>
  <si>
    <t>10</t>
  </si>
  <si>
    <t>241</t>
  </si>
  <si>
    <t>71</t>
  </si>
  <si>
    <t>34.42</t>
  </si>
  <si>
    <t>163</t>
  </si>
  <si>
    <t>147.85</t>
  </si>
  <si>
    <t>005</t>
  </si>
  <si>
    <t>SP Fleming</t>
  </si>
  <si>
    <t>Stephen Paul Fleming</t>
  </si>
  <si>
    <t>196</t>
  </si>
  <si>
    <t>45</t>
  </si>
  <si>
    <t>21.77</t>
  </si>
  <si>
    <t>165</t>
  </si>
  <si>
    <t>118.78</t>
  </si>
  <si>
    <t>27</t>
  </si>
  <si>
    <t>006</t>
  </si>
  <si>
    <t>S Badrinath</t>
  </si>
  <si>
    <t>Subramaniam Badrinath</t>
  </si>
  <si>
    <t>11</t>
  </si>
  <si>
    <t>5</t>
  </si>
  <si>
    <t>192</t>
  </si>
  <si>
    <t>64</t>
  </si>
  <si>
    <t>32.00</t>
  </si>
  <si>
    <t>130</t>
  </si>
  <si>
    <t>147.69</t>
  </si>
  <si>
    <t>21</t>
  </si>
  <si>
    <t>8</t>
  </si>
  <si>
    <t>007</t>
  </si>
  <si>
    <t>ML Hayden</t>
  </si>
  <si>
    <t>Matthew Lawrence Hayden</t>
  </si>
  <si>
    <t>189</t>
  </si>
  <si>
    <t>81</t>
  </si>
  <si>
    <t>63.00</t>
  </si>
  <si>
    <t>131</t>
  </si>
  <si>
    <t>144.27</t>
  </si>
  <si>
    <t>24</t>
  </si>
  <si>
    <t>6</t>
  </si>
  <si>
    <t>008</t>
  </si>
  <si>
    <t>MEK Hussey</t>
  </si>
  <si>
    <t>Michael Edward Killeen Hussey</t>
  </si>
  <si>
    <t>168</t>
  </si>
  <si>
    <t>116*</t>
  </si>
  <si>
    <t>84.00</t>
  </si>
  <si>
    <t>100</t>
  </si>
  <si>
    <t>168.00</t>
  </si>
  <si>
    <t>12</t>
  </si>
  <si>
    <t>009</t>
  </si>
  <si>
    <t>S Vidyut</t>
  </si>
  <si>
    <t>Suresh Vidyut</t>
  </si>
  <si>
    <t>9</t>
  </si>
  <si>
    <t>145</t>
  </si>
  <si>
    <t>18.12</t>
  </si>
  <si>
    <t>109</t>
  </si>
  <si>
    <t>133.02</t>
  </si>
  <si>
    <t>010</t>
  </si>
  <si>
    <t>MS Gony</t>
  </si>
  <si>
    <t>Manpreet Singh Gony</t>
  </si>
  <si>
    <t>15*</t>
  </si>
  <si>
    <t>35.00</t>
  </si>
  <si>
    <t>23</t>
  </si>
  <si>
    <t>152.17</t>
  </si>
  <si>
    <t>011</t>
  </si>
  <si>
    <t>JDP Oram</t>
  </si>
  <si>
    <t>Jacob David Philip Oram</t>
  </si>
  <si>
    <t>18.00</t>
  </si>
  <si>
    <t>150.00</t>
  </si>
  <si>
    <t>012</t>
  </si>
  <si>
    <t>Joginder Sharma</t>
  </si>
  <si>
    <t>8.00</t>
  </si>
  <si>
    <t>145.45</t>
  </si>
  <si>
    <t>013</t>
  </si>
  <si>
    <t>CK Kapugedera</t>
  </si>
  <si>
    <t>Chamara Kantha Kapugedera</t>
  </si>
  <si>
    <t>5.33</t>
  </si>
  <si>
    <t>69.56</t>
  </si>
  <si>
    <t>014</t>
  </si>
  <si>
    <t>M Ntini</t>
  </si>
  <si>
    <t>Makhaya Ntini</t>
  </si>
  <si>
    <t>11.00</t>
  </si>
  <si>
    <t>61.11</t>
  </si>
  <si>
    <t>015</t>
  </si>
  <si>
    <t>S Anirudha</t>
  </si>
  <si>
    <t>Srikkanth Anirudha</t>
  </si>
  <si>
    <t>1.00</t>
  </si>
  <si>
    <t>7</t>
  </si>
  <si>
    <t>14.28</t>
  </si>
  <si>
    <t>016</t>
  </si>
  <si>
    <t>L Balaji</t>
  </si>
  <si>
    <t>Lakshmipathy Balaji</t>
  </si>
  <si>
    <t>0.00</t>
  </si>
  <si>
    <t>017</t>
  </si>
  <si>
    <t>A Mukund</t>
  </si>
  <si>
    <t>Abhinav Mukund</t>
  </si>
  <si>
    <t>018</t>
  </si>
  <si>
    <t>M Muralidaran</t>
  </si>
  <si>
    <t>Muttiah Muralidaran</t>
  </si>
  <si>
    <t>019</t>
  </si>
  <si>
    <t>P Amarnath</t>
  </si>
  <si>
    <t>-</t>
  </si>
  <si>
    <t>572</t>
  </si>
  <si>
    <t>89</t>
  </si>
  <si>
    <t>52.00</t>
  </si>
  <si>
    <t>395</t>
  </si>
  <si>
    <t>144.81</t>
  </si>
  <si>
    <t>60</t>
  </si>
  <si>
    <t>22</t>
  </si>
  <si>
    <t>434</t>
  </si>
  <si>
    <t>98</t>
  </si>
  <si>
    <t>31.00</t>
  </si>
  <si>
    <t>308</t>
  </si>
  <si>
    <t>140.90</t>
  </si>
  <si>
    <t>37</t>
  </si>
  <si>
    <t>332</t>
  </si>
  <si>
    <t>58*</t>
  </si>
  <si>
    <t>41.50</t>
  </si>
  <si>
    <t>261</t>
  </si>
  <si>
    <t>127.20</t>
  </si>
  <si>
    <t>177</t>
  </si>
  <si>
    <t>59*</t>
  </si>
  <si>
    <t>19.66</t>
  </si>
  <si>
    <t>164</t>
  </si>
  <si>
    <t>107.92</t>
  </si>
  <si>
    <t>20</t>
  </si>
  <si>
    <t>142</t>
  </si>
  <si>
    <t>36</t>
  </si>
  <si>
    <t>15.77</t>
  </si>
  <si>
    <t>126</t>
  </si>
  <si>
    <t>112.69</t>
  </si>
  <si>
    <t>19</t>
  </si>
  <si>
    <t>97</t>
  </si>
  <si>
    <t>21*</t>
  </si>
  <si>
    <t>24.25</t>
  </si>
  <si>
    <t>70</t>
  </si>
  <si>
    <t>138.57</t>
  </si>
  <si>
    <t>88</t>
  </si>
  <si>
    <t>41*</t>
  </si>
  <si>
    <t>14.66</t>
  </si>
  <si>
    <t>93</t>
  </si>
  <si>
    <t>94.62</t>
  </si>
  <si>
    <t>020</t>
  </si>
  <si>
    <t>A Flintoff</t>
  </si>
  <si>
    <t>Andrew Flintoff</t>
  </si>
  <si>
    <t>62</t>
  </si>
  <si>
    <t>53</t>
  </si>
  <si>
    <t>116.98</t>
  </si>
  <si>
    <t>021</t>
  </si>
  <si>
    <t>M Vijay</t>
  </si>
  <si>
    <t>Murali Vijay</t>
  </si>
  <si>
    <t>31</t>
  </si>
  <si>
    <t>15.00</t>
  </si>
  <si>
    <t>67</t>
  </si>
  <si>
    <t>89.55</t>
  </si>
  <si>
    <t>022</t>
  </si>
  <si>
    <t>GJ Bailey</t>
  </si>
  <si>
    <t>George John Bailey</t>
  </si>
  <si>
    <t>30</t>
  </si>
  <si>
    <t>22.50</t>
  </si>
  <si>
    <t>39</t>
  </si>
  <si>
    <t>115.38</t>
  </si>
  <si>
    <t>023</t>
  </si>
  <si>
    <t>SB Jakati</t>
  </si>
  <si>
    <t>Shadab Bashir Jakati</t>
  </si>
  <si>
    <t>20.00</t>
  </si>
  <si>
    <t>133.33</t>
  </si>
  <si>
    <t>16*</t>
  </si>
  <si>
    <t>111.11</t>
  </si>
  <si>
    <t>6.50</t>
  </si>
  <si>
    <t>185.71</t>
  </si>
  <si>
    <t>024</t>
  </si>
  <si>
    <t>R Ashwin</t>
  </si>
  <si>
    <t>Ravichandran Ashwin</t>
  </si>
  <si>
    <t>53.33</t>
  </si>
  <si>
    <t>4.00</t>
  </si>
  <si>
    <t>100.00</t>
  </si>
  <si>
    <t>2*</t>
  </si>
  <si>
    <t>1.33</t>
  </si>
  <si>
    <t>40.00</t>
  </si>
  <si>
    <t>025</t>
  </si>
  <si>
    <t>T Thushara</t>
  </si>
  <si>
    <t>Thilan Thushara</t>
  </si>
  <si>
    <t>1*</t>
  </si>
  <si>
    <t>2.00</t>
  </si>
  <si>
    <t>28.57</t>
  </si>
  <si>
    <t>026</t>
  </si>
  <si>
    <t>S Tyagi</t>
  </si>
  <si>
    <t>0*</t>
  </si>
  <si>
    <t>520</t>
  </si>
  <si>
    <t>83*</t>
  </si>
  <si>
    <t>47.27</t>
  </si>
  <si>
    <t>364</t>
  </si>
  <si>
    <t>142.85</t>
  </si>
  <si>
    <t>458</t>
  </si>
  <si>
    <t>127</t>
  </si>
  <si>
    <t>35.23</t>
  </si>
  <si>
    <t>292</t>
  </si>
  <si>
    <t>156.84</t>
  </si>
  <si>
    <t>26</t>
  </si>
  <si>
    <t>356</t>
  </si>
  <si>
    <t>32.36</t>
  </si>
  <si>
    <t>303</t>
  </si>
  <si>
    <t>117.49</t>
  </si>
  <si>
    <t>41</t>
  </si>
  <si>
    <t>346</t>
  </si>
  <si>
    <t>21.62</t>
  </si>
  <si>
    <t>279</t>
  </si>
  <si>
    <t>124.01</t>
  </si>
  <si>
    <t>287</t>
  </si>
  <si>
    <t>66*</t>
  </si>
  <si>
    <t>31.88</t>
  </si>
  <si>
    <t>210</t>
  </si>
  <si>
    <t>136.66</t>
  </si>
  <si>
    <t>198</t>
  </si>
  <si>
    <t>24.75</t>
  </si>
  <si>
    <t>151.14</t>
  </si>
  <si>
    <t>72</t>
  </si>
  <si>
    <t>57</t>
  </si>
  <si>
    <t>79</t>
  </si>
  <si>
    <t>91.13</t>
  </si>
  <si>
    <t>18.50</t>
  </si>
  <si>
    <t>44</t>
  </si>
  <si>
    <t>84.09</t>
  </si>
  <si>
    <t>30.00</t>
  </si>
  <si>
    <t>166.66</t>
  </si>
  <si>
    <t>11*</t>
  </si>
  <si>
    <t>7.50</t>
  </si>
  <si>
    <t>40</t>
  </si>
  <si>
    <t>75.00</t>
  </si>
  <si>
    <t>027</t>
  </si>
  <si>
    <t>JM Kemp</t>
  </si>
  <si>
    <t>Justin Miles Kemp</t>
  </si>
  <si>
    <t>13.00</t>
  </si>
  <si>
    <t>108.33</t>
  </si>
  <si>
    <t>66.66</t>
  </si>
  <si>
    <t>9.00</t>
  </si>
  <si>
    <t>90.00</t>
  </si>
  <si>
    <t>028</t>
  </si>
  <si>
    <t>DE Bollinger</t>
  </si>
  <si>
    <t>Douglas Erwin Bollinger</t>
  </si>
  <si>
    <t>17</t>
  </si>
  <si>
    <t>105.88</t>
  </si>
  <si>
    <t>10.00</t>
  </si>
  <si>
    <t>90.90</t>
  </si>
  <si>
    <t>029</t>
  </si>
  <si>
    <t>KB Arun Karthik</t>
  </si>
  <si>
    <t>3*</t>
  </si>
  <si>
    <t>60.00</t>
  </si>
  <si>
    <t>33.33</t>
  </si>
  <si>
    <t>50.00</t>
  </si>
  <si>
    <t>030</t>
  </si>
  <si>
    <t>C Ganapathy</t>
  </si>
  <si>
    <t>031</t>
  </si>
  <si>
    <t>NLTC Perera</t>
  </si>
  <si>
    <t>492</t>
  </si>
  <si>
    <t>41.00</t>
  </si>
  <si>
    <t>118.84</t>
  </si>
  <si>
    <t>438</t>
  </si>
  <si>
    <t>73*</t>
  </si>
  <si>
    <t>31.28</t>
  </si>
  <si>
    <t>325</t>
  </si>
  <si>
    <t>134.76</t>
  </si>
  <si>
    <t>95</t>
  </si>
  <si>
    <t>27.12</t>
  </si>
  <si>
    <t>339</t>
  </si>
  <si>
    <t>128.02</t>
  </si>
  <si>
    <t>34</t>
  </si>
  <si>
    <t>396</t>
  </si>
  <si>
    <t>71*</t>
  </si>
  <si>
    <t>56.57</t>
  </si>
  <si>
    <t>313</t>
  </si>
  <si>
    <t>126.51</t>
  </si>
  <si>
    <t>392</t>
  </si>
  <si>
    <t>70*</t>
  </si>
  <si>
    <t>43.55</t>
  </si>
  <si>
    <t>247</t>
  </si>
  <si>
    <t>158.70</t>
  </si>
  <si>
    <t>25</t>
  </si>
  <si>
    <t>138</t>
  </si>
  <si>
    <t>30*</t>
  </si>
  <si>
    <t>23.00</t>
  </si>
  <si>
    <t>102</t>
  </si>
  <si>
    <t>135.29</t>
  </si>
  <si>
    <t>83</t>
  </si>
  <si>
    <t>20.75</t>
  </si>
  <si>
    <t>74</t>
  </si>
  <si>
    <t>112.16</t>
  </si>
  <si>
    <t>032</t>
  </si>
  <si>
    <t>WP Saha</t>
  </si>
  <si>
    <t>Wriddhiman Prasanta Saha</t>
  </si>
  <si>
    <t>68</t>
  </si>
  <si>
    <t>46*</t>
  </si>
  <si>
    <t>68.00</t>
  </si>
  <si>
    <t>63</t>
  </si>
  <si>
    <t>107.93</t>
  </si>
  <si>
    <t>033</t>
  </si>
  <si>
    <t>DJ Bravo</t>
  </si>
  <si>
    <t>Dwayne John Bravo</t>
  </si>
  <si>
    <t>6*</t>
  </si>
  <si>
    <t>183.33</t>
  </si>
  <si>
    <t>034</t>
  </si>
  <si>
    <t>SB Styris</t>
  </si>
  <si>
    <t>Scott Bernard Styris</t>
  </si>
  <si>
    <t>5*</t>
  </si>
  <si>
    <t>250.00</t>
  </si>
  <si>
    <t>035</t>
  </si>
  <si>
    <t>S Randiv</t>
  </si>
  <si>
    <t>Suraj Randiv</t>
  </si>
  <si>
    <t>036</t>
  </si>
  <si>
    <t>KMDN Kulasekara</t>
  </si>
  <si>
    <t>Kodikara Mudiyanselage Nuwan Kulasekara</t>
  </si>
  <si>
    <t>037</t>
  </si>
  <si>
    <t>TG Southee</t>
  </si>
  <si>
    <t>Timothy Grant Southee</t>
  </si>
  <si>
    <t>441</t>
  </si>
  <si>
    <t>73</t>
  </si>
  <si>
    <t>25.94</t>
  </si>
  <si>
    <t>135.69</t>
  </si>
  <si>
    <t>038</t>
  </si>
  <si>
    <t>F du Plessis</t>
  </si>
  <si>
    <t>Francois "Faf" du Plessis</t>
  </si>
  <si>
    <t>398</t>
  </si>
  <si>
    <t>33.16</t>
  </si>
  <si>
    <t>304</t>
  </si>
  <si>
    <t>130.92</t>
  </si>
  <si>
    <t>29</t>
  </si>
  <si>
    <t>371</t>
  </si>
  <si>
    <t>48</t>
  </si>
  <si>
    <t>46.37</t>
  </si>
  <si>
    <t>264</t>
  </si>
  <si>
    <t>140.53</t>
  </si>
  <si>
    <t>358</t>
  </si>
  <si>
    <t>51*</t>
  </si>
  <si>
    <t>29.83</t>
  </si>
  <si>
    <t>278</t>
  </si>
  <si>
    <t>128.77</t>
  </si>
  <si>
    <t>336</t>
  </si>
  <si>
    <t>113</t>
  </si>
  <si>
    <t>25.84</t>
  </si>
  <si>
    <t>267</t>
  </si>
  <si>
    <t>125.84</t>
  </si>
  <si>
    <t>56</t>
  </si>
  <si>
    <t>32.62</t>
  </si>
  <si>
    <t>236</t>
  </si>
  <si>
    <t>110.59</t>
  </si>
  <si>
    <t>28</t>
  </si>
  <si>
    <t>28.00</t>
  </si>
  <si>
    <t>181</t>
  </si>
  <si>
    <t>108.28</t>
  </si>
  <si>
    <t>039</t>
  </si>
  <si>
    <t>RA Jadeja</t>
  </si>
  <si>
    <t>Ravindrasinh Anirudhsinh Jadeja</t>
  </si>
  <si>
    <t>191</t>
  </si>
  <si>
    <t>15.91</t>
  </si>
  <si>
    <t>151</t>
  </si>
  <si>
    <t>126.49</t>
  </si>
  <si>
    <t>107</t>
  </si>
  <si>
    <t>15.28</t>
  </si>
  <si>
    <t>157.35</t>
  </si>
  <si>
    <t>18*</t>
  </si>
  <si>
    <t>271.42</t>
  </si>
  <si>
    <t>6.00</t>
  </si>
  <si>
    <t>120.00</t>
  </si>
  <si>
    <t>58.33</t>
  </si>
  <si>
    <t>42.85</t>
  </si>
  <si>
    <t>3.00</t>
  </si>
  <si>
    <t>040</t>
  </si>
  <si>
    <t>BW Hilfenhaus</t>
  </si>
  <si>
    <t>Ben Warwick Hilfenhaus</t>
  </si>
  <si>
    <t>041</t>
  </si>
  <si>
    <t>VY Mahesh</t>
  </si>
  <si>
    <t>Veerabhadran Yele Mahesh</t>
  </si>
  <si>
    <t>733</t>
  </si>
  <si>
    <t>52.35</t>
  </si>
  <si>
    <t>566</t>
  </si>
  <si>
    <t>129.50</t>
  </si>
  <si>
    <t>548</t>
  </si>
  <si>
    <t>100*</t>
  </si>
  <si>
    <t>42.15</t>
  </si>
  <si>
    <t>365</t>
  </si>
  <si>
    <t>150.13</t>
  </si>
  <si>
    <t>50</t>
  </si>
  <si>
    <t>461</t>
  </si>
  <si>
    <t>67*</t>
  </si>
  <si>
    <t>41.90</t>
  </si>
  <si>
    <t>283</t>
  </si>
  <si>
    <t>162.89</t>
  </si>
  <si>
    <t>32</t>
  </si>
  <si>
    <t>312</t>
  </si>
  <si>
    <t>55</t>
  </si>
  <si>
    <t>22.28</t>
  </si>
  <si>
    <t>286</t>
  </si>
  <si>
    <t>109.09</t>
  </si>
  <si>
    <t>201</t>
  </si>
  <si>
    <t>38*</t>
  </si>
  <si>
    <t>25.12</t>
  </si>
  <si>
    <t>135</t>
  </si>
  <si>
    <t>148.88</t>
  </si>
  <si>
    <t>124</t>
  </si>
  <si>
    <t>17.71</t>
  </si>
  <si>
    <t>121</t>
  </si>
  <si>
    <t>102.47</t>
  </si>
  <si>
    <t>23*</t>
  </si>
  <si>
    <t>15.12</t>
  </si>
  <si>
    <t>106</t>
  </si>
  <si>
    <t>114.15</t>
  </si>
  <si>
    <t>23.33</t>
  </si>
  <si>
    <t>125.00</t>
  </si>
  <si>
    <t>46</t>
  </si>
  <si>
    <t>15.33</t>
  </si>
  <si>
    <t>124.32</t>
  </si>
  <si>
    <t>8.75</t>
  </si>
  <si>
    <t>49</t>
  </si>
  <si>
    <t>71.42</t>
  </si>
  <si>
    <t>042</t>
  </si>
  <si>
    <t>CH Morris</t>
  </si>
  <si>
    <t>Christopher Henry Morris</t>
  </si>
  <si>
    <t>7*</t>
  </si>
  <si>
    <t>7.00</t>
  </si>
  <si>
    <t>87.50</t>
  </si>
  <si>
    <t>043</t>
  </si>
  <si>
    <t>B Laughlin</t>
  </si>
  <si>
    <t>Ben Laughlin</t>
  </si>
  <si>
    <t>4*</t>
  </si>
  <si>
    <t>44.44</t>
  </si>
  <si>
    <t>044</t>
  </si>
  <si>
    <t>AS Rajpoot</t>
  </si>
  <si>
    <t>Ankit Singh Rajpoot</t>
  </si>
  <si>
    <t>045</t>
  </si>
  <si>
    <t>DP Nannes</t>
  </si>
  <si>
    <t>Dirk Peter Nannes</t>
  </si>
  <si>
    <t>046</t>
  </si>
  <si>
    <t>MM Sharma</t>
  </si>
  <si>
    <t>Mohit Mahipal Sharma</t>
  </si>
  <si>
    <t>047</t>
  </si>
  <si>
    <t>JO Holder</t>
  </si>
  <si>
    <t>Jason Omar Holder</t>
  </si>
  <si>
    <t>048</t>
  </si>
  <si>
    <t>DR Smith</t>
  </si>
  <si>
    <t>Dwayne Romell Smith</t>
  </si>
  <si>
    <t>35.37</t>
  </si>
  <si>
    <t>416</t>
  </si>
  <si>
    <t>136.05</t>
  </si>
  <si>
    <t>523</t>
  </si>
  <si>
    <t>87</t>
  </si>
  <si>
    <t>40.23</t>
  </si>
  <si>
    <t>359</t>
  </si>
  <si>
    <t>145.68</t>
  </si>
  <si>
    <t>51</t>
  </si>
  <si>
    <t>049</t>
  </si>
  <si>
    <t>BB McCullum</t>
  </si>
  <si>
    <t>Brendon Barrie McCullum</t>
  </si>
  <si>
    <t>405</t>
  </si>
  <si>
    <t>31.15</t>
  </si>
  <si>
    <t>333</t>
  </si>
  <si>
    <t>121.62</t>
  </si>
  <si>
    <t>57*</t>
  </si>
  <si>
    <t>74.20</t>
  </si>
  <si>
    <t>250</t>
  </si>
  <si>
    <t>148.40</t>
  </si>
  <si>
    <t>54*</t>
  </si>
  <si>
    <t>27.54</t>
  </si>
  <si>
    <t>235</t>
  </si>
  <si>
    <t>128.93</t>
  </si>
  <si>
    <t>146</t>
  </si>
  <si>
    <t>36*</t>
  </si>
  <si>
    <t>29.20</t>
  </si>
  <si>
    <t>110</t>
  </si>
  <si>
    <t>132.72</t>
  </si>
  <si>
    <t>050</t>
  </si>
  <si>
    <t>DJ Hussey</t>
  </si>
  <si>
    <t>David John Hussey</t>
  </si>
  <si>
    <t>116</t>
  </si>
  <si>
    <t>50*</t>
  </si>
  <si>
    <t>58.00</t>
  </si>
  <si>
    <t>94</t>
  </si>
  <si>
    <t>123.40</t>
  </si>
  <si>
    <t>051</t>
  </si>
  <si>
    <t>M Manhas</t>
  </si>
  <si>
    <t>Mithun Manhas</t>
  </si>
  <si>
    <t>13*</t>
  </si>
  <si>
    <t>17.50</t>
  </si>
  <si>
    <t>8*</t>
  </si>
  <si>
    <t>266.66</t>
  </si>
  <si>
    <t>052</t>
  </si>
  <si>
    <t>S Badree</t>
  </si>
  <si>
    <t>Samuel Badree</t>
  </si>
  <si>
    <t>053</t>
  </si>
  <si>
    <t>JW Hastings</t>
  </si>
  <si>
    <t>John Wayne Hastings</t>
  </si>
  <si>
    <t>054</t>
  </si>
  <si>
    <t>P Negi</t>
  </si>
  <si>
    <t>Pawan Negi</t>
  </si>
  <si>
    <t>055</t>
  </si>
  <si>
    <t>A Nehra</t>
  </si>
  <si>
    <t>Ashish Nehra</t>
  </si>
  <si>
    <t>056</t>
  </si>
  <si>
    <t>IC Pandey</t>
  </si>
  <si>
    <t>Ishwar Chandra Pandey</t>
  </si>
  <si>
    <t>057</t>
  </si>
  <si>
    <t>V Shankar</t>
  </si>
  <si>
    <t>Vijay Shankar</t>
  </si>
  <si>
    <t>436</t>
  </si>
  <si>
    <t>33.53</t>
  </si>
  <si>
    <t>280</t>
  </si>
  <si>
    <t>155.71</t>
  </si>
  <si>
    <t>399</t>
  </si>
  <si>
    <t>24.93</t>
  </si>
  <si>
    <t>335</t>
  </si>
  <si>
    <t>119.10</t>
  </si>
  <si>
    <t>52</t>
  </si>
  <si>
    <t>380</t>
  </si>
  <si>
    <t>29.23</t>
  </si>
  <si>
    <t>374</t>
  </si>
  <si>
    <t>305</t>
  </si>
  <si>
    <t>122.62</t>
  </si>
  <si>
    <t>372</t>
  </si>
  <si>
    <t>121.96</t>
  </si>
  <si>
    <t>195</t>
  </si>
  <si>
    <t>62*</t>
  </si>
  <si>
    <t>21.66</t>
  </si>
  <si>
    <t>148</t>
  </si>
  <si>
    <t>131.75</t>
  </si>
  <si>
    <t>132</t>
  </si>
  <si>
    <t>18.85</t>
  </si>
  <si>
    <t>104.76</t>
  </si>
  <si>
    <t>14.50</t>
  </si>
  <si>
    <t>158.90</t>
  </si>
  <si>
    <t>77</t>
  </si>
  <si>
    <t>19.25</t>
  </si>
  <si>
    <t>110.00</t>
  </si>
  <si>
    <t>17.33</t>
  </si>
  <si>
    <t>162.50</t>
  </si>
  <si>
    <t>9.33</t>
  </si>
  <si>
    <t>155.55</t>
  </si>
  <si>
    <t>058</t>
  </si>
  <si>
    <t>RG More</t>
  </si>
  <si>
    <t>Rituraj Gajanan More</t>
  </si>
  <si>
    <t>059</t>
  </si>
  <si>
    <t>AT Rayudu</t>
  </si>
  <si>
    <t>Ambati Tirupati Rayudu</t>
  </si>
  <si>
    <t>602</t>
  </si>
  <si>
    <t>43.00</t>
  </si>
  <si>
    <t>402</t>
  </si>
  <si>
    <t>149.75</t>
  </si>
  <si>
    <t>060</t>
  </si>
  <si>
    <t>SR Watson</t>
  </si>
  <si>
    <t>Shane Robert Watson</t>
  </si>
  <si>
    <t>555</t>
  </si>
  <si>
    <t>117*</t>
  </si>
  <si>
    <t>39.64</t>
  </si>
  <si>
    <t>154.59</t>
  </si>
  <si>
    <t>455</t>
  </si>
  <si>
    <t>79*</t>
  </si>
  <si>
    <t>75.83</t>
  </si>
  <si>
    <t>150.66</t>
  </si>
  <si>
    <t>445</t>
  </si>
  <si>
    <t>75*</t>
  </si>
  <si>
    <t>37.08</t>
  </si>
  <si>
    <t>132.44</t>
  </si>
  <si>
    <t>162</t>
  </si>
  <si>
    <t>32.40</t>
  </si>
  <si>
    <t>129</t>
  </si>
  <si>
    <t>125.58</t>
  </si>
  <si>
    <t>141</t>
  </si>
  <si>
    <t>35.25</t>
  </si>
  <si>
    <t>91</t>
  </si>
  <si>
    <t>154.94</t>
  </si>
  <si>
    <t>061</t>
  </si>
  <si>
    <t>SW Billings</t>
  </si>
  <si>
    <t>Samuel William Billings</t>
  </si>
  <si>
    <t>108</t>
  </si>
  <si>
    <t>13.50</t>
  </si>
  <si>
    <t>78</t>
  </si>
  <si>
    <t>138.46</t>
  </si>
  <si>
    <t>27*</t>
  </si>
  <si>
    <t>17.80</t>
  </si>
  <si>
    <t>120.27</t>
  </si>
  <si>
    <t>062</t>
  </si>
  <si>
    <t>DL Chahar</t>
  </si>
  <si>
    <t>Deepak Lokendrasingh Chahar</t>
  </si>
  <si>
    <t>16.66</t>
  </si>
  <si>
    <t>172.41</t>
  </si>
  <si>
    <t>063</t>
  </si>
  <si>
    <t>Harbhajan Singh</t>
  </si>
  <si>
    <t>9.66</t>
  </si>
  <si>
    <t>80.55</t>
  </si>
  <si>
    <t>064</t>
  </si>
  <si>
    <t>KM Jadhav</t>
  </si>
  <si>
    <t>Kedar Mahadev Jadhav</t>
  </si>
  <si>
    <t>24*</t>
  </si>
  <si>
    <t>065</t>
  </si>
  <si>
    <t>SN Thakur</t>
  </si>
  <si>
    <t>Shardul Narendra Thakur</t>
  </si>
  <si>
    <t>300.00</t>
  </si>
  <si>
    <t>12.00</t>
  </si>
  <si>
    <t>066</t>
  </si>
  <si>
    <t>DR Shorey</t>
  </si>
  <si>
    <t>Dhruv Ravinder Shorey</t>
  </si>
  <si>
    <t>88.88</t>
  </si>
  <si>
    <t>067</t>
  </si>
  <si>
    <t>Imran Tahir</t>
  </si>
  <si>
    <t>068</t>
  </si>
  <si>
    <t>MA Wood</t>
  </si>
  <si>
    <t>Mark Andrew Wood</t>
  </si>
  <si>
    <t>069</t>
  </si>
  <si>
    <t>KV Sharma</t>
  </si>
  <si>
    <t>Karn Vinod Sharma</t>
  </si>
  <si>
    <t>070</t>
  </si>
  <si>
    <t>KM Asif</t>
  </si>
  <si>
    <t>K. M. Asif</t>
  </si>
  <si>
    <t>071</t>
  </si>
  <si>
    <t>L Ngidi</t>
  </si>
  <si>
    <t>Lungi Ngidi</t>
  </si>
  <si>
    <t>072</t>
  </si>
  <si>
    <t>DJ Willey</t>
  </si>
  <si>
    <t>David Jonathan Willey</t>
  </si>
  <si>
    <t>84*</t>
  </si>
  <si>
    <t>83.20</t>
  </si>
  <si>
    <t>309</t>
  </si>
  <si>
    <t>134.62</t>
  </si>
  <si>
    <t>96</t>
  </si>
  <si>
    <t>23.41</t>
  </si>
  <si>
    <t>127.56</t>
  </si>
  <si>
    <t>36.00</t>
  </si>
  <si>
    <t>321</t>
  </si>
  <si>
    <t>123.36</t>
  </si>
  <si>
    <t>383</t>
  </si>
  <si>
    <t>59</t>
  </si>
  <si>
    <t>23.93</t>
  </si>
  <si>
    <t>314</t>
  </si>
  <si>
    <t>121.97</t>
  </si>
  <si>
    <t>282</t>
  </si>
  <si>
    <t>23.50</t>
  </si>
  <si>
    <t>93.06</t>
  </si>
  <si>
    <t>58</t>
  </si>
  <si>
    <t>169</t>
  </si>
  <si>
    <t>95.85</t>
  </si>
  <si>
    <t>31*</t>
  </si>
  <si>
    <t>35.33</t>
  </si>
  <si>
    <t>120.45</t>
  </si>
  <si>
    <t>80</t>
  </si>
  <si>
    <t>16.00</t>
  </si>
  <si>
    <t>66</t>
  </si>
  <si>
    <t>121.21</t>
  </si>
  <si>
    <t>61</t>
  </si>
  <si>
    <t>104.91</t>
  </si>
  <si>
    <t>073</t>
  </si>
  <si>
    <t>MJ Santner</t>
  </si>
  <si>
    <t>Mitchell Josef Santner</t>
  </si>
  <si>
    <t>139.13</t>
  </si>
  <si>
    <t>12*</t>
  </si>
  <si>
    <t>200.00</t>
  </si>
  <si>
    <t>3.50</t>
  </si>
  <si>
    <t>77.77</t>
  </si>
  <si>
    <t>5.00</t>
  </si>
  <si>
    <t>62.50</t>
  </si>
  <si>
    <t>074</t>
  </si>
  <si>
    <t>SC Kuggeleijn</t>
  </si>
  <si>
    <t>Scott Christopher Kuggeleijn</t>
  </si>
  <si>
    <t>449</t>
  </si>
  <si>
    <t>87*</t>
  </si>
  <si>
    <t>40.81</t>
  </si>
  <si>
    <t>319</t>
  </si>
  <si>
    <t>140.75</t>
  </si>
  <si>
    <t>39.88</t>
  </si>
  <si>
    <t>127.30</t>
  </si>
  <si>
    <t>299</t>
  </si>
  <si>
    <t>29.90</t>
  </si>
  <si>
    <t>121.05</t>
  </si>
  <si>
    <t>33</t>
  </si>
  <si>
    <t>232</t>
  </si>
  <si>
    <t>46.40</t>
  </si>
  <si>
    <t>171.85</t>
  </si>
  <si>
    <t>075</t>
  </si>
  <si>
    <t>RD Gaikwad</t>
  </si>
  <si>
    <t>Ruturaj Dashrat Gaikwad</t>
  </si>
  <si>
    <t>204</t>
  </si>
  <si>
    <t>51.00</t>
  </si>
  <si>
    <t>120.71</t>
  </si>
  <si>
    <t>200</t>
  </si>
  <si>
    <t>47*</t>
  </si>
  <si>
    <t>25.00</t>
  </si>
  <si>
    <t>172</t>
  </si>
  <si>
    <t>116.27</t>
  </si>
  <si>
    <t>076</t>
  </si>
  <si>
    <t>SM Curran</t>
  </si>
  <si>
    <t>Samuel Matthew Curran</t>
  </si>
  <si>
    <t>186</t>
  </si>
  <si>
    <t>23.25</t>
  </si>
  <si>
    <t>131.91</t>
  </si>
  <si>
    <t>20.66</t>
  </si>
  <si>
    <t>93.93</t>
  </si>
  <si>
    <t>077</t>
  </si>
  <si>
    <t>N Jagadeesan</t>
  </si>
  <si>
    <t>Narayan Jagadeesan</t>
  </si>
  <si>
    <t>16.50</t>
  </si>
  <si>
    <t>113.79</t>
  </si>
  <si>
    <t>10.66</t>
  </si>
  <si>
    <t>43</t>
  </si>
  <si>
    <t>74.41</t>
  </si>
  <si>
    <t>130.00</t>
  </si>
  <si>
    <t>57.14</t>
  </si>
  <si>
    <t>116.66</t>
  </si>
  <si>
    <t>078</t>
  </si>
  <si>
    <t>PP Chawla</t>
  </si>
  <si>
    <t>Piyush Pramod Chawla</t>
  </si>
  <si>
    <t>079</t>
  </si>
  <si>
    <t>JR Hazlewood</t>
  </si>
  <si>
    <t>Josh Reginald Hazlewood</t>
  </si>
  <si>
    <t>080</t>
  </si>
  <si>
    <t>Monu Kumar</t>
  </si>
  <si>
    <t>635</t>
  </si>
  <si>
    <t>101*</t>
  </si>
  <si>
    <t>45.35</t>
  </si>
  <si>
    <t>466</t>
  </si>
  <si>
    <t>136.26</t>
  </si>
  <si>
    <t>633</t>
  </si>
  <si>
    <t>95*</t>
  </si>
  <si>
    <t>45.21</t>
  </si>
  <si>
    <t>138.20</t>
  </si>
  <si>
    <t>081</t>
  </si>
  <si>
    <t>MM Ali</t>
  </si>
  <si>
    <t>Moeen Munir Ali</t>
  </si>
  <si>
    <t>357</t>
  </si>
  <si>
    <t>25.50</t>
  </si>
  <si>
    <t>260</t>
  </si>
  <si>
    <t>137.30</t>
  </si>
  <si>
    <t>257</t>
  </si>
  <si>
    <t>72*</t>
  </si>
  <si>
    <t>28.55</t>
  </si>
  <si>
    <t>170</t>
  </si>
  <si>
    <t>151.17</t>
  </si>
  <si>
    <t>227</t>
  </si>
  <si>
    <t>75.66</t>
  </si>
  <si>
    <t>156</t>
  </si>
  <si>
    <t>145.51</t>
  </si>
  <si>
    <t>160</t>
  </si>
  <si>
    <t>17.77</t>
  </si>
  <si>
    <t>128</t>
  </si>
  <si>
    <t>082</t>
  </si>
  <si>
    <t>RV Uthappa</t>
  </si>
  <si>
    <t>Robin Venu Uthappa</t>
  </si>
  <si>
    <t>115</t>
  </si>
  <si>
    <t>28.75</t>
  </si>
  <si>
    <t>84</t>
  </si>
  <si>
    <t>136.90</t>
  </si>
  <si>
    <t>114</t>
  </si>
  <si>
    <t>16.28</t>
  </si>
  <si>
    <t>106.54</t>
  </si>
  <si>
    <t>18.66</t>
  </si>
  <si>
    <t>193.10</t>
  </si>
  <si>
    <t>47</t>
  </si>
  <si>
    <t>47.00</t>
  </si>
  <si>
    <t>261.11</t>
  </si>
  <si>
    <t>2.50</t>
  </si>
  <si>
    <t>368</t>
  </si>
  <si>
    <t>99</t>
  </si>
  <si>
    <t>26.28</t>
  </si>
  <si>
    <t>291</t>
  </si>
  <si>
    <t>126.46</t>
  </si>
  <si>
    <t>083</t>
  </si>
  <si>
    <t>S Dube</t>
  </si>
  <si>
    <t>Shivam Dube</t>
  </si>
  <si>
    <t>289</t>
  </si>
  <si>
    <t>28.90</t>
  </si>
  <si>
    <t>185</t>
  </si>
  <si>
    <t>156.21</t>
  </si>
  <si>
    <t>274</t>
  </si>
  <si>
    <t>24.90</t>
  </si>
  <si>
    <t>224</t>
  </si>
  <si>
    <t>122.32</t>
  </si>
  <si>
    <t>084</t>
  </si>
  <si>
    <t>DP Conway</t>
  </si>
  <si>
    <t>Devon Philip Conway</t>
  </si>
  <si>
    <t>252</t>
  </si>
  <si>
    <t>42.00</t>
  </si>
  <si>
    <t>173</t>
  </si>
  <si>
    <t>145.66</t>
  </si>
  <si>
    <t>244</t>
  </si>
  <si>
    <t>24.40</t>
  </si>
  <si>
    <t>137.85</t>
  </si>
  <si>
    <t>33.14</t>
  </si>
  <si>
    <t>188</t>
  </si>
  <si>
    <t>230</t>
  </si>
  <si>
    <t>20.90</t>
  </si>
  <si>
    <t>171</t>
  </si>
  <si>
    <t>134.50</t>
  </si>
  <si>
    <t>26*</t>
  </si>
  <si>
    <t>19.33</t>
  </si>
  <si>
    <t>118.36</t>
  </si>
  <si>
    <t>085</t>
  </si>
  <si>
    <t>D Pretorius</t>
  </si>
  <si>
    <t>Dwaine Pretorius</t>
  </si>
  <si>
    <t>157.14</t>
  </si>
  <si>
    <t>39*</t>
  </si>
  <si>
    <t>108.10</t>
  </si>
  <si>
    <t>11.50</t>
  </si>
  <si>
    <t>95.83</t>
  </si>
  <si>
    <t>81.48</t>
  </si>
  <si>
    <t>086</t>
  </si>
  <si>
    <t>CJ Jordan</t>
  </si>
  <si>
    <t>Christopher James Jordan</t>
  </si>
  <si>
    <t>137.50</t>
  </si>
  <si>
    <t>087</t>
  </si>
  <si>
    <t>Simarjeet Singh</t>
  </si>
  <si>
    <t>088</t>
  </si>
  <si>
    <t>M Theekshana</t>
  </si>
  <si>
    <t>Maheesh Theekshana</t>
  </si>
  <si>
    <t>089</t>
  </si>
  <si>
    <t>Mukesh Choudhary</t>
  </si>
  <si>
    <t>090</t>
  </si>
  <si>
    <t>TU Deshpande</t>
  </si>
  <si>
    <t>Tushar Uday Deshpande</t>
  </si>
  <si>
    <t>091</t>
  </si>
  <si>
    <t>AF Milne</t>
  </si>
  <si>
    <t>092</t>
  </si>
  <si>
    <t>M Pathirana</t>
  </si>
  <si>
    <t>Matheesha Pathirana</t>
  </si>
  <si>
    <t>093</t>
  </si>
  <si>
    <t>PH Solanki</t>
  </si>
  <si>
    <t>Prashant Harikisan Solanki</t>
  </si>
  <si>
    <t>672</t>
  </si>
  <si>
    <t>92*</t>
  </si>
  <si>
    <t>51.69</t>
  </si>
  <si>
    <t>481</t>
  </si>
  <si>
    <t>139.70</t>
  </si>
  <si>
    <t>590</t>
  </si>
  <si>
    <t>92</t>
  </si>
  <si>
    <t>42.14</t>
  </si>
  <si>
    <t>400</t>
  </si>
  <si>
    <t>147.50</t>
  </si>
  <si>
    <t>418</t>
  </si>
  <si>
    <t>38.00</t>
  </si>
  <si>
    <t>158.33</t>
  </si>
  <si>
    <t>094</t>
  </si>
  <si>
    <t>AM Rahane</t>
  </si>
  <si>
    <t>Ajinkya Madhukar Rahane</t>
  </si>
  <si>
    <t>326</t>
  </si>
  <si>
    <t>32.60</t>
  </si>
  <si>
    <t>172.48</t>
  </si>
  <si>
    <t>190</t>
  </si>
  <si>
    <t>25*</t>
  </si>
  <si>
    <t>23.75</t>
  </si>
  <si>
    <t>133</t>
  </si>
  <si>
    <t>158</t>
  </si>
  <si>
    <t>15.80</t>
  </si>
  <si>
    <t>139.82</t>
  </si>
  <si>
    <t>104</t>
  </si>
  <si>
    <t>32*</t>
  </si>
  <si>
    <t>26.00</t>
  </si>
  <si>
    <t>182.45</t>
  </si>
  <si>
    <t>095</t>
  </si>
  <si>
    <t>BA Stokes</t>
  </si>
  <si>
    <t>Ben Andrew Stokes</t>
  </si>
  <si>
    <t>107.14</t>
  </si>
  <si>
    <t>096</t>
  </si>
  <si>
    <t>Akash Singh</t>
  </si>
  <si>
    <t>097</t>
  </si>
  <si>
    <t>RS Hangargekar</t>
  </si>
  <si>
    <t>Rajvardhan Santosh Hangargekar</t>
  </si>
  <si>
    <t>098</t>
  </si>
  <si>
    <t>SSB Magala</t>
  </si>
  <si>
    <t>Sisanda Sandile Bruce Magala</t>
  </si>
  <si>
    <t>583</t>
  </si>
  <si>
    <t>108*</t>
  </si>
  <si>
    <t>53.00</t>
  </si>
  <si>
    <t>413</t>
  </si>
  <si>
    <t>141.16</t>
  </si>
  <si>
    <t>162.29</t>
  </si>
  <si>
    <t>099</t>
  </si>
  <si>
    <t>DJ Mitchell</t>
  </si>
  <si>
    <t>Daryl Joseph Mitchell</t>
  </si>
  <si>
    <t>318</t>
  </si>
  <si>
    <t>223</t>
  </si>
  <si>
    <t>142.60</t>
  </si>
  <si>
    <t>44.50</t>
  </si>
  <si>
    <t>187</t>
  </si>
  <si>
    <t>142.78</t>
  </si>
  <si>
    <t>242</t>
  </si>
  <si>
    <t>20.16</t>
  </si>
  <si>
    <t>123.46</t>
  </si>
  <si>
    <t>R Ravindra</t>
  </si>
  <si>
    <t>Rachin Ravindra</t>
  </si>
  <si>
    <t>222</t>
  </si>
  <si>
    <t>22.20</t>
  </si>
  <si>
    <t>160.86</t>
  </si>
  <si>
    <t>161</t>
  </si>
  <si>
    <t>37*</t>
  </si>
  <si>
    <t>53.66</t>
  </si>
  <si>
    <t>220.54</t>
  </si>
  <si>
    <t>25.60</t>
  </si>
  <si>
    <t>130.61</t>
  </si>
  <si>
    <t>101</t>
  </si>
  <si>
    <t>Sameer Rizvi</t>
  </si>
  <si>
    <t>12.75</t>
  </si>
  <si>
    <t>118.60</t>
  </si>
  <si>
    <t>21.00</t>
  </si>
  <si>
    <t>123.52</t>
  </si>
  <si>
    <t>4.66</t>
  </si>
  <si>
    <t>82.35</t>
  </si>
  <si>
    <t>RJ Gleeson</t>
  </si>
  <si>
    <t>Richard James Gleeson</t>
  </si>
  <si>
    <t>103</t>
  </si>
  <si>
    <t>Mustafizur Rahman</t>
  </si>
  <si>
    <t>32.45</t>
  </si>
  <si>
    <t>270</t>
  </si>
  <si>
    <t>132.22</t>
  </si>
  <si>
    <t>301</t>
  </si>
  <si>
    <t>77*</t>
  </si>
  <si>
    <t>33.44</t>
  </si>
  <si>
    <t>135.58</t>
  </si>
  <si>
    <t>A Mhatre</t>
  </si>
  <si>
    <t>240</t>
  </si>
  <si>
    <t>34.28</t>
  </si>
  <si>
    <t>188.97</t>
  </si>
  <si>
    <t>105</t>
  </si>
  <si>
    <t>D Brevis</t>
  </si>
  <si>
    <t>Dewald Brevis</t>
  </si>
  <si>
    <t>225</t>
  </si>
  <si>
    <t>37.50</t>
  </si>
  <si>
    <t>125</t>
  </si>
  <si>
    <t>180.00</t>
  </si>
  <si>
    <t>24.50</t>
  </si>
  <si>
    <t>135.17</t>
  </si>
  <si>
    <t>65*</t>
  </si>
  <si>
    <t>27.28</t>
  </si>
  <si>
    <t>149</t>
  </si>
  <si>
    <t>128.18</t>
  </si>
  <si>
    <t>69</t>
  </si>
  <si>
    <t>119</t>
  </si>
  <si>
    <t>131.09</t>
  </si>
  <si>
    <t>122</t>
  </si>
  <si>
    <t>150.61</t>
  </si>
  <si>
    <t>118</t>
  </si>
  <si>
    <t>69*</t>
  </si>
  <si>
    <t>39.33</t>
  </si>
  <si>
    <t>129.67</t>
  </si>
  <si>
    <t>22.80</t>
  </si>
  <si>
    <t>135.71</t>
  </si>
  <si>
    <t>SK Rasheed</t>
  </si>
  <si>
    <t>14.20</t>
  </si>
  <si>
    <t>UM Patel</t>
  </si>
  <si>
    <t>Urvil Manish Patel</t>
  </si>
  <si>
    <t>22.66</t>
  </si>
  <si>
    <t>212.50</t>
  </si>
  <si>
    <t>RA Tripathi</t>
  </si>
  <si>
    <t>Rahul Ajay Tripathi</t>
  </si>
  <si>
    <t>96.49</t>
  </si>
  <si>
    <t>8.25</t>
  </si>
  <si>
    <t>DJ Hooda</t>
  </si>
  <si>
    <t>Deepak Jagbir Hooda</t>
  </si>
  <si>
    <t>6.20</t>
  </si>
  <si>
    <t>75.60</t>
  </si>
  <si>
    <t>J Overton</t>
  </si>
  <si>
    <t>Jamie Overton</t>
  </si>
  <si>
    <t>214.28</t>
  </si>
  <si>
    <t>111</t>
  </si>
  <si>
    <t>A Kamboj</t>
  </si>
  <si>
    <t>Akash Kamboj</t>
  </si>
  <si>
    <t>112</t>
  </si>
  <si>
    <t>Noor Ahmad</t>
  </si>
  <si>
    <t>Noor Ahmad Lakanwal</t>
  </si>
  <si>
    <t>1.75</t>
  </si>
  <si>
    <t>41.17</t>
  </si>
  <si>
    <t>KK Ahmed</t>
  </si>
  <si>
    <t>Khizar Khaleel Ahmed</t>
  </si>
  <si>
    <t>NT Ellis</t>
  </si>
  <si>
    <t>Sudeep Tyagi</t>
  </si>
  <si>
    <t>Nathan Ellis</t>
  </si>
  <si>
    <t>Shaik Rasheed</t>
  </si>
  <si>
    <t>Ayush Mhatre</t>
  </si>
  <si>
    <t>Adam Fraser Milne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</si>
</sst>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opLeftCell="B1"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2008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>
        <f t="shared" ref="J2:J20" si="0">IF(I2="-", "-", VALUE(SUBSTITUTE(I2,"*","")))</f>
        <v>55</v>
      </c>
      <c r="K2" t="str">
        <f t="shared" ref="K2:K20" si="1">IF(I2="-", "-", IF(ISNUMBER(FIND("*", I2)), "Not Out", "Out"))</f>
        <v>Not Out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24</v>
      </c>
      <c r="S2" t="s">
        <v>32</v>
      </c>
    </row>
    <row r="3" spans="1:19" x14ac:dyDescent="0.3">
      <c r="A3" t="s">
        <v>33</v>
      </c>
      <c r="B3" t="s">
        <v>34</v>
      </c>
      <c r="C3" t="s">
        <v>35</v>
      </c>
      <c r="D3">
        <v>2008</v>
      </c>
      <c r="E3" t="s">
        <v>22</v>
      </c>
      <c r="F3" t="s">
        <v>23</v>
      </c>
      <c r="G3" t="s">
        <v>36</v>
      </c>
      <c r="H3" t="s">
        <v>37</v>
      </c>
      <c r="I3" t="s">
        <v>38</v>
      </c>
      <c r="J3">
        <f t="shared" si="0"/>
        <v>65</v>
      </c>
      <c r="K3" t="str">
        <f t="shared" si="1"/>
        <v>Out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32</v>
      </c>
      <c r="R3" t="s">
        <v>44</v>
      </c>
      <c r="S3" t="s">
        <v>32</v>
      </c>
    </row>
    <row r="4" spans="1:19" x14ac:dyDescent="0.3">
      <c r="A4" t="s">
        <v>45</v>
      </c>
      <c r="B4" t="s">
        <v>46</v>
      </c>
      <c r="C4" t="s">
        <v>47</v>
      </c>
      <c r="D4">
        <v>2008</v>
      </c>
      <c r="E4" t="s">
        <v>48</v>
      </c>
      <c r="F4" t="s">
        <v>48</v>
      </c>
      <c r="G4" t="s">
        <v>44</v>
      </c>
      <c r="H4" t="s">
        <v>49</v>
      </c>
      <c r="I4" t="s">
        <v>50</v>
      </c>
      <c r="J4">
        <f t="shared" si="0"/>
        <v>54</v>
      </c>
      <c r="K4" t="str">
        <f t="shared" si="1"/>
        <v>Out</v>
      </c>
      <c r="L4" t="s">
        <v>51</v>
      </c>
      <c r="M4" t="s">
        <v>52</v>
      </c>
      <c r="N4" t="s">
        <v>53</v>
      </c>
      <c r="O4" t="s">
        <v>54</v>
      </c>
      <c r="P4" t="s">
        <v>24</v>
      </c>
      <c r="Q4" t="s">
        <v>55</v>
      </c>
      <c r="R4" t="s">
        <v>44</v>
      </c>
      <c r="S4" t="s">
        <v>32</v>
      </c>
    </row>
    <row r="5" spans="1:19" x14ac:dyDescent="0.3">
      <c r="A5" t="s">
        <v>56</v>
      </c>
      <c r="B5" t="s">
        <v>57</v>
      </c>
      <c r="C5" t="s">
        <v>58</v>
      </c>
      <c r="D5">
        <v>2008</v>
      </c>
      <c r="E5" t="s">
        <v>48</v>
      </c>
      <c r="F5" t="s">
        <v>59</v>
      </c>
      <c r="G5" t="s">
        <v>24</v>
      </c>
      <c r="H5" t="s">
        <v>60</v>
      </c>
      <c r="I5" t="s">
        <v>61</v>
      </c>
      <c r="J5">
        <f t="shared" si="0"/>
        <v>71</v>
      </c>
      <c r="K5" t="str">
        <f t="shared" si="1"/>
        <v>Out</v>
      </c>
      <c r="L5" t="s">
        <v>62</v>
      </c>
      <c r="M5" t="s">
        <v>63</v>
      </c>
      <c r="N5" t="s">
        <v>64</v>
      </c>
      <c r="O5" t="s">
        <v>31</v>
      </c>
      <c r="P5" t="s">
        <v>23</v>
      </c>
      <c r="Q5" t="s">
        <v>32</v>
      </c>
      <c r="R5" t="s">
        <v>55</v>
      </c>
      <c r="S5" t="s">
        <v>32</v>
      </c>
    </row>
    <row r="6" spans="1:19" x14ac:dyDescent="0.3">
      <c r="A6" t="s">
        <v>65</v>
      </c>
      <c r="B6" t="s">
        <v>66</v>
      </c>
      <c r="C6" t="s">
        <v>67</v>
      </c>
      <c r="D6">
        <v>2008</v>
      </c>
      <c r="E6" t="s">
        <v>59</v>
      </c>
      <c r="F6" t="s">
        <v>59</v>
      </c>
      <c r="G6" t="s">
        <v>55</v>
      </c>
      <c r="H6" t="s">
        <v>68</v>
      </c>
      <c r="I6" t="s">
        <v>69</v>
      </c>
      <c r="J6">
        <f t="shared" si="0"/>
        <v>45</v>
      </c>
      <c r="K6" t="str">
        <f t="shared" si="1"/>
        <v>Out</v>
      </c>
      <c r="L6" t="s">
        <v>70</v>
      </c>
      <c r="M6" t="s">
        <v>71</v>
      </c>
      <c r="N6" t="s">
        <v>72</v>
      </c>
      <c r="O6" t="s">
        <v>73</v>
      </c>
      <c r="P6" t="s">
        <v>24</v>
      </c>
      <c r="Q6" t="s">
        <v>55</v>
      </c>
      <c r="R6" t="s">
        <v>32</v>
      </c>
      <c r="S6" t="s">
        <v>32</v>
      </c>
    </row>
    <row r="7" spans="1:19" x14ac:dyDescent="0.3">
      <c r="A7" t="s">
        <v>74</v>
      </c>
      <c r="B7" t="s">
        <v>75</v>
      </c>
      <c r="C7" t="s">
        <v>76</v>
      </c>
      <c r="D7">
        <v>2008</v>
      </c>
      <c r="E7" t="s">
        <v>22</v>
      </c>
      <c r="F7" t="s">
        <v>77</v>
      </c>
      <c r="G7" t="s">
        <v>78</v>
      </c>
      <c r="H7" t="s">
        <v>79</v>
      </c>
      <c r="I7" t="s">
        <v>80</v>
      </c>
      <c r="J7">
        <f t="shared" si="0"/>
        <v>64</v>
      </c>
      <c r="K7" t="str">
        <f t="shared" si="1"/>
        <v>Out</v>
      </c>
      <c r="L7" t="s">
        <v>81</v>
      </c>
      <c r="M7" t="s">
        <v>82</v>
      </c>
      <c r="N7" t="s">
        <v>83</v>
      </c>
      <c r="O7" t="s">
        <v>84</v>
      </c>
      <c r="P7" t="s">
        <v>85</v>
      </c>
      <c r="Q7" t="s">
        <v>55</v>
      </c>
      <c r="R7" t="s">
        <v>44</v>
      </c>
      <c r="S7" t="s">
        <v>32</v>
      </c>
    </row>
    <row r="8" spans="1:19" x14ac:dyDescent="0.3">
      <c r="A8" t="s">
        <v>86</v>
      </c>
      <c r="B8" t="s">
        <v>87</v>
      </c>
      <c r="C8" t="s">
        <v>88</v>
      </c>
      <c r="D8">
        <v>2008</v>
      </c>
      <c r="E8" t="s">
        <v>36</v>
      </c>
      <c r="F8" t="s">
        <v>36</v>
      </c>
      <c r="G8" t="s">
        <v>55</v>
      </c>
      <c r="H8" t="s">
        <v>89</v>
      </c>
      <c r="I8" t="s">
        <v>90</v>
      </c>
      <c r="J8">
        <f t="shared" si="0"/>
        <v>81</v>
      </c>
      <c r="K8" t="str">
        <f t="shared" si="1"/>
        <v>Out</v>
      </c>
      <c r="L8" t="s">
        <v>91</v>
      </c>
      <c r="M8" t="s">
        <v>92</v>
      </c>
      <c r="N8" t="s">
        <v>93</v>
      </c>
      <c r="O8" t="s">
        <v>94</v>
      </c>
      <c r="P8" t="s">
        <v>95</v>
      </c>
      <c r="Q8" t="s">
        <v>32</v>
      </c>
      <c r="R8" t="s">
        <v>44</v>
      </c>
      <c r="S8" t="s">
        <v>32</v>
      </c>
    </row>
    <row r="9" spans="1:19" x14ac:dyDescent="0.3">
      <c r="A9" t="s">
        <v>96</v>
      </c>
      <c r="B9" t="s">
        <v>97</v>
      </c>
      <c r="C9" t="s">
        <v>98</v>
      </c>
      <c r="D9">
        <v>2008</v>
      </c>
      <c r="E9" t="s">
        <v>36</v>
      </c>
      <c r="F9" t="s">
        <v>24</v>
      </c>
      <c r="G9" t="s">
        <v>55</v>
      </c>
      <c r="H9" t="s">
        <v>99</v>
      </c>
      <c r="I9" t="s">
        <v>100</v>
      </c>
      <c r="J9">
        <f t="shared" si="0"/>
        <v>116</v>
      </c>
      <c r="K9" t="str">
        <f t="shared" si="1"/>
        <v>Not Out</v>
      </c>
      <c r="L9" t="s">
        <v>101</v>
      </c>
      <c r="M9" t="s">
        <v>102</v>
      </c>
      <c r="N9" t="s">
        <v>103</v>
      </c>
      <c r="O9" t="s">
        <v>104</v>
      </c>
      <c r="P9" t="s">
        <v>77</v>
      </c>
      <c r="Q9" t="s">
        <v>32</v>
      </c>
      <c r="R9" t="s">
        <v>32</v>
      </c>
      <c r="S9" t="s">
        <v>55</v>
      </c>
    </row>
    <row r="10" spans="1:19" x14ac:dyDescent="0.3">
      <c r="A10" t="s">
        <v>105</v>
      </c>
      <c r="B10" t="s">
        <v>106</v>
      </c>
      <c r="C10" t="s">
        <v>107</v>
      </c>
      <c r="D10">
        <v>2008</v>
      </c>
      <c r="E10" t="s">
        <v>108</v>
      </c>
      <c r="F10" t="s">
        <v>85</v>
      </c>
      <c r="G10" t="s">
        <v>32</v>
      </c>
      <c r="H10" t="s">
        <v>109</v>
      </c>
      <c r="I10" t="s">
        <v>50</v>
      </c>
      <c r="J10">
        <f t="shared" si="0"/>
        <v>54</v>
      </c>
      <c r="K10" t="str">
        <f t="shared" si="1"/>
        <v>Out</v>
      </c>
      <c r="L10" t="s">
        <v>110</v>
      </c>
      <c r="M10" t="s">
        <v>111</v>
      </c>
      <c r="N10" t="s">
        <v>112</v>
      </c>
      <c r="O10" t="s">
        <v>84</v>
      </c>
      <c r="P10" t="s">
        <v>24</v>
      </c>
      <c r="Q10" t="s">
        <v>55</v>
      </c>
      <c r="R10" t="s">
        <v>55</v>
      </c>
      <c r="S10" t="s">
        <v>32</v>
      </c>
    </row>
    <row r="11" spans="1:19" x14ac:dyDescent="0.3">
      <c r="A11" t="s">
        <v>113</v>
      </c>
      <c r="B11" t="s">
        <v>114</v>
      </c>
      <c r="C11" t="s">
        <v>115</v>
      </c>
      <c r="D11">
        <v>2008</v>
      </c>
      <c r="E11" t="s">
        <v>22</v>
      </c>
      <c r="F11" t="s">
        <v>78</v>
      </c>
      <c r="G11" t="s">
        <v>36</v>
      </c>
      <c r="H11" t="s">
        <v>30</v>
      </c>
      <c r="I11" t="s">
        <v>116</v>
      </c>
      <c r="J11">
        <f t="shared" si="0"/>
        <v>15</v>
      </c>
      <c r="K11" t="str">
        <f t="shared" si="1"/>
        <v>Not Out</v>
      </c>
      <c r="L11" t="s">
        <v>117</v>
      </c>
      <c r="M11" t="s">
        <v>118</v>
      </c>
      <c r="N11" t="s">
        <v>119</v>
      </c>
      <c r="O11" t="s">
        <v>44</v>
      </c>
      <c r="P11" t="s">
        <v>24</v>
      </c>
      <c r="Q11" t="s">
        <v>32</v>
      </c>
      <c r="R11" t="s">
        <v>32</v>
      </c>
      <c r="S11" t="s">
        <v>32</v>
      </c>
    </row>
    <row r="12" spans="1:19" x14ac:dyDescent="0.3">
      <c r="A12" t="s">
        <v>120</v>
      </c>
      <c r="B12" t="s">
        <v>121</v>
      </c>
      <c r="C12" t="s">
        <v>122</v>
      </c>
      <c r="D12">
        <v>2008</v>
      </c>
      <c r="E12" t="s">
        <v>36</v>
      </c>
      <c r="F12" t="s">
        <v>24</v>
      </c>
      <c r="G12" t="s">
        <v>44</v>
      </c>
      <c r="H12" t="s">
        <v>31</v>
      </c>
      <c r="I12" t="s">
        <v>48</v>
      </c>
      <c r="J12">
        <f t="shared" si="0"/>
        <v>13</v>
      </c>
      <c r="K12" t="str">
        <f t="shared" si="1"/>
        <v>Out</v>
      </c>
      <c r="L12" t="s">
        <v>123</v>
      </c>
      <c r="M12" t="s">
        <v>104</v>
      </c>
      <c r="N12" t="s">
        <v>124</v>
      </c>
      <c r="O12" t="s">
        <v>55</v>
      </c>
      <c r="P12" t="s">
        <v>55</v>
      </c>
      <c r="Q12" t="s">
        <v>32</v>
      </c>
      <c r="R12" t="s">
        <v>32</v>
      </c>
      <c r="S12" t="s">
        <v>32</v>
      </c>
    </row>
    <row r="13" spans="1:19" x14ac:dyDescent="0.3">
      <c r="A13" t="s">
        <v>125</v>
      </c>
      <c r="B13" t="s">
        <v>126</v>
      </c>
      <c r="C13" t="s">
        <v>126</v>
      </c>
      <c r="D13">
        <v>2008</v>
      </c>
      <c r="E13" t="s">
        <v>85</v>
      </c>
      <c r="F13" t="s">
        <v>24</v>
      </c>
      <c r="G13" t="s">
        <v>55</v>
      </c>
      <c r="H13" t="s">
        <v>22</v>
      </c>
      <c r="I13" t="s">
        <v>22</v>
      </c>
      <c r="J13">
        <f t="shared" si="0"/>
        <v>16</v>
      </c>
      <c r="K13" t="str">
        <f t="shared" si="1"/>
        <v>Out</v>
      </c>
      <c r="L13" t="s">
        <v>127</v>
      </c>
      <c r="M13" t="s">
        <v>77</v>
      </c>
      <c r="N13" t="s">
        <v>128</v>
      </c>
      <c r="O13" t="s">
        <v>55</v>
      </c>
      <c r="P13" t="s">
        <v>55</v>
      </c>
      <c r="Q13" t="s">
        <v>55</v>
      </c>
      <c r="R13" t="s">
        <v>32</v>
      </c>
      <c r="S13" t="s">
        <v>32</v>
      </c>
    </row>
    <row r="14" spans="1:19" x14ac:dyDescent="0.3">
      <c r="A14" t="s">
        <v>129</v>
      </c>
      <c r="B14" t="s">
        <v>130</v>
      </c>
      <c r="C14" t="s">
        <v>131</v>
      </c>
      <c r="D14">
        <v>2008</v>
      </c>
      <c r="E14" t="s">
        <v>78</v>
      </c>
      <c r="F14" t="s">
        <v>24</v>
      </c>
      <c r="G14" t="s">
        <v>32</v>
      </c>
      <c r="H14" t="s">
        <v>22</v>
      </c>
      <c r="I14" t="s">
        <v>85</v>
      </c>
      <c r="J14">
        <f t="shared" si="0"/>
        <v>8</v>
      </c>
      <c r="K14" t="str">
        <f t="shared" si="1"/>
        <v>Out</v>
      </c>
      <c r="L14" t="s">
        <v>132</v>
      </c>
      <c r="M14" t="s">
        <v>118</v>
      </c>
      <c r="N14" t="s">
        <v>133</v>
      </c>
      <c r="O14" t="s">
        <v>32</v>
      </c>
      <c r="P14" t="s">
        <v>32</v>
      </c>
      <c r="Q14" t="s">
        <v>55</v>
      </c>
      <c r="R14" t="s">
        <v>32</v>
      </c>
      <c r="S14" t="s">
        <v>32</v>
      </c>
    </row>
    <row r="15" spans="1:19" x14ac:dyDescent="0.3">
      <c r="A15" t="s">
        <v>134</v>
      </c>
      <c r="B15" t="s">
        <v>135</v>
      </c>
      <c r="C15" t="s">
        <v>136</v>
      </c>
      <c r="D15">
        <v>2008</v>
      </c>
      <c r="E15" t="s">
        <v>108</v>
      </c>
      <c r="F15" t="s">
        <v>44</v>
      </c>
      <c r="G15" t="s">
        <v>55</v>
      </c>
      <c r="H15" t="s">
        <v>77</v>
      </c>
      <c r="I15" t="s">
        <v>77</v>
      </c>
      <c r="J15">
        <f t="shared" si="0"/>
        <v>11</v>
      </c>
      <c r="K15" t="str">
        <f t="shared" si="1"/>
        <v>Out</v>
      </c>
      <c r="L15" t="s">
        <v>137</v>
      </c>
      <c r="M15" t="s">
        <v>31</v>
      </c>
      <c r="N15" t="s">
        <v>138</v>
      </c>
      <c r="O15" t="s">
        <v>44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139</v>
      </c>
      <c r="B16" t="s">
        <v>140</v>
      </c>
      <c r="C16" t="s">
        <v>141</v>
      </c>
      <c r="D16">
        <v>2008</v>
      </c>
      <c r="E16" t="s">
        <v>55</v>
      </c>
      <c r="F16" t="s">
        <v>55</v>
      </c>
      <c r="G16" t="s">
        <v>32</v>
      </c>
      <c r="H16" t="s">
        <v>55</v>
      </c>
      <c r="I16" t="s">
        <v>55</v>
      </c>
      <c r="J16">
        <f t="shared" si="0"/>
        <v>1</v>
      </c>
      <c r="K16" t="str">
        <f t="shared" si="1"/>
        <v>Out</v>
      </c>
      <c r="L16" t="s">
        <v>142</v>
      </c>
      <c r="M16" t="s">
        <v>143</v>
      </c>
      <c r="N16" t="s">
        <v>144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145</v>
      </c>
      <c r="B17" t="s">
        <v>146</v>
      </c>
      <c r="C17" t="s">
        <v>147</v>
      </c>
      <c r="D17">
        <v>2008</v>
      </c>
      <c r="E17" t="s">
        <v>108</v>
      </c>
      <c r="F17" t="s">
        <v>55</v>
      </c>
      <c r="G17" t="s">
        <v>32</v>
      </c>
      <c r="H17" t="s">
        <v>32</v>
      </c>
      <c r="I17" t="s">
        <v>32</v>
      </c>
      <c r="J17">
        <f t="shared" si="0"/>
        <v>0</v>
      </c>
      <c r="K17" t="str">
        <f t="shared" si="1"/>
        <v>Out</v>
      </c>
      <c r="L17" t="s">
        <v>148</v>
      </c>
      <c r="M17" t="s">
        <v>36</v>
      </c>
      <c r="N17" t="s">
        <v>148</v>
      </c>
      <c r="O17" t="s">
        <v>32</v>
      </c>
      <c r="P17" t="s">
        <v>32</v>
      </c>
      <c r="Q17" t="s">
        <v>55</v>
      </c>
      <c r="R17" t="s">
        <v>32</v>
      </c>
      <c r="S17" t="s">
        <v>32</v>
      </c>
    </row>
    <row r="18" spans="1:19" x14ac:dyDescent="0.3">
      <c r="A18" t="s">
        <v>149</v>
      </c>
      <c r="B18" t="s">
        <v>150</v>
      </c>
      <c r="C18" t="s">
        <v>151</v>
      </c>
      <c r="D18">
        <v>2008</v>
      </c>
      <c r="E18" t="s">
        <v>44</v>
      </c>
      <c r="F18" t="s">
        <v>55</v>
      </c>
      <c r="G18" t="s">
        <v>32</v>
      </c>
      <c r="H18" t="s">
        <v>32</v>
      </c>
      <c r="I18" t="s">
        <v>32</v>
      </c>
      <c r="J18">
        <f t="shared" si="0"/>
        <v>0</v>
      </c>
      <c r="K18" t="str">
        <f t="shared" si="1"/>
        <v>Out</v>
      </c>
      <c r="L18" t="s">
        <v>148</v>
      </c>
      <c r="M18" t="s">
        <v>55</v>
      </c>
      <c r="N18" t="s">
        <v>148</v>
      </c>
      <c r="O18" t="s">
        <v>32</v>
      </c>
      <c r="P18" t="s">
        <v>32</v>
      </c>
      <c r="Q18" t="s">
        <v>55</v>
      </c>
      <c r="R18" t="s">
        <v>32</v>
      </c>
      <c r="S18" t="s">
        <v>32</v>
      </c>
    </row>
    <row r="19" spans="1:19" x14ac:dyDescent="0.3">
      <c r="A19" t="s">
        <v>152</v>
      </c>
      <c r="B19" t="s">
        <v>153</v>
      </c>
      <c r="C19" t="s">
        <v>154</v>
      </c>
      <c r="D19">
        <v>2008</v>
      </c>
      <c r="E19" t="s">
        <v>43</v>
      </c>
      <c r="F19" t="s">
        <v>55</v>
      </c>
      <c r="G19" t="s">
        <v>32</v>
      </c>
      <c r="H19" t="s">
        <v>32</v>
      </c>
      <c r="I19" t="s">
        <v>32</v>
      </c>
      <c r="J19">
        <f t="shared" si="0"/>
        <v>0</v>
      </c>
      <c r="K19" t="str">
        <f t="shared" si="1"/>
        <v>Out</v>
      </c>
      <c r="L19" t="s">
        <v>148</v>
      </c>
      <c r="M19" t="s">
        <v>24</v>
      </c>
      <c r="N19" t="s">
        <v>148</v>
      </c>
      <c r="O19" t="s">
        <v>32</v>
      </c>
      <c r="P19" t="s">
        <v>32</v>
      </c>
      <c r="Q19" t="s">
        <v>55</v>
      </c>
      <c r="R19" t="s">
        <v>32</v>
      </c>
      <c r="S19" t="s">
        <v>32</v>
      </c>
    </row>
    <row r="20" spans="1:19" x14ac:dyDescent="0.3">
      <c r="A20" t="s">
        <v>155</v>
      </c>
      <c r="B20" t="s">
        <v>156</v>
      </c>
      <c r="C20" t="s">
        <v>156</v>
      </c>
      <c r="D20">
        <v>2008</v>
      </c>
      <c r="E20" t="s">
        <v>95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3.89843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86</v>
      </c>
      <c r="B2" t="s">
        <v>87</v>
      </c>
      <c r="C2" t="s">
        <v>88</v>
      </c>
      <c r="D2">
        <v>2009</v>
      </c>
      <c r="E2" t="s">
        <v>104</v>
      </c>
      <c r="F2" t="s">
        <v>104</v>
      </c>
      <c r="G2" t="s">
        <v>55</v>
      </c>
      <c r="H2" t="s">
        <v>158</v>
      </c>
      <c r="I2" t="s">
        <v>159</v>
      </c>
      <c r="J2">
        <f t="shared" ref="J2:J19" si="0">IF(I2="-", "-", VALUE(SUBSTITUTE(I2,"*","")))</f>
        <v>89</v>
      </c>
      <c r="K2" t="str">
        <f t="shared" ref="K2:K19" si="1">IF(I2="-", "-", IF(ISNUMBER(FIND("*", I2)), "Not Out", "Out"))</f>
        <v>Out</v>
      </c>
      <c r="L2" t="s">
        <v>160</v>
      </c>
      <c r="M2" t="s">
        <v>161</v>
      </c>
      <c r="N2" t="s">
        <v>162</v>
      </c>
      <c r="O2" t="s">
        <v>163</v>
      </c>
      <c r="P2" t="s">
        <v>164</v>
      </c>
      <c r="Q2" t="s">
        <v>32</v>
      </c>
      <c r="R2" t="s">
        <v>78</v>
      </c>
      <c r="S2" t="s">
        <v>32</v>
      </c>
    </row>
    <row r="3" spans="1:19" x14ac:dyDescent="0.3">
      <c r="A3" t="s">
        <v>19</v>
      </c>
      <c r="B3" t="s">
        <v>20</v>
      </c>
      <c r="C3" t="s">
        <v>21</v>
      </c>
      <c r="D3">
        <v>2009</v>
      </c>
      <c r="E3" t="s">
        <v>23</v>
      </c>
      <c r="F3" t="s">
        <v>23</v>
      </c>
      <c r="G3" t="s">
        <v>32</v>
      </c>
      <c r="H3" t="s">
        <v>165</v>
      </c>
      <c r="I3" t="s">
        <v>166</v>
      </c>
      <c r="J3">
        <f t="shared" si="0"/>
        <v>98</v>
      </c>
      <c r="K3" t="str">
        <f t="shared" si="1"/>
        <v>Out</v>
      </c>
      <c r="L3" t="s">
        <v>167</v>
      </c>
      <c r="M3" t="s">
        <v>168</v>
      </c>
      <c r="N3" t="s">
        <v>169</v>
      </c>
      <c r="O3" t="s">
        <v>170</v>
      </c>
      <c r="P3" t="s">
        <v>84</v>
      </c>
      <c r="Q3" t="s">
        <v>32</v>
      </c>
      <c r="R3" t="s">
        <v>44</v>
      </c>
      <c r="S3" t="s">
        <v>32</v>
      </c>
    </row>
    <row r="4" spans="1:19" x14ac:dyDescent="0.3">
      <c r="A4" t="s">
        <v>33</v>
      </c>
      <c r="B4" t="s">
        <v>34</v>
      </c>
      <c r="C4" t="s">
        <v>35</v>
      </c>
      <c r="D4">
        <v>2009</v>
      </c>
      <c r="E4" t="s">
        <v>23</v>
      </c>
      <c r="F4" t="s">
        <v>48</v>
      </c>
      <c r="G4" t="s">
        <v>78</v>
      </c>
      <c r="H4" t="s">
        <v>171</v>
      </c>
      <c r="I4" t="s">
        <v>172</v>
      </c>
      <c r="J4">
        <f t="shared" si="0"/>
        <v>58</v>
      </c>
      <c r="K4" t="str">
        <f t="shared" si="1"/>
        <v>Not Out</v>
      </c>
      <c r="L4" t="s">
        <v>173</v>
      </c>
      <c r="M4" t="s">
        <v>174</v>
      </c>
      <c r="N4" t="s">
        <v>175</v>
      </c>
      <c r="O4" t="s">
        <v>164</v>
      </c>
      <c r="P4" t="s">
        <v>108</v>
      </c>
      <c r="Q4" t="s">
        <v>32</v>
      </c>
      <c r="R4" t="s">
        <v>44</v>
      </c>
      <c r="S4" t="s">
        <v>32</v>
      </c>
    </row>
    <row r="5" spans="1:19" x14ac:dyDescent="0.3">
      <c r="A5" t="s">
        <v>74</v>
      </c>
      <c r="B5" t="s">
        <v>75</v>
      </c>
      <c r="C5" t="s">
        <v>76</v>
      </c>
      <c r="D5">
        <v>2009</v>
      </c>
      <c r="E5" t="s">
        <v>23</v>
      </c>
      <c r="F5" t="s">
        <v>77</v>
      </c>
      <c r="G5" t="s">
        <v>44</v>
      </c>
      <c r="H5" t="s">
        <v>176</v>
      </c>
      <c r="I5" t="s">
        <v>177</v>
      </c>
      <c r="J5">
        <f t="shared" si="0"/>
        <v>59</v>
      </c>
      <c r="K5" t="str">
        <f t="shared" si="1"/>
        <v>Not Out</v>
      </c>
      <c r="L5" t="s">
        <v>178</v>
      </c>
      <c r="M5" t="s">
        <v>179</v>
      </c>
      <c r="N5" t="s">
        <v>180</v>
      </c>
      <c r="O5" t="s">
        <v>181</v>
      </c>
      <c r="P5" t="s">
        <v>36</v>
      </c>
      <c r="Q5" t="s">
        <v>44</v>
      </c>
      <c r="R5" t="s">
        <v>55</v>
      </c>
      <c r="S5" t="s">
        <v>32</v>
      </c>
    </row>
    <row r="6" spans="1:19" x14ac:dyDescent="0.3">
      <c r="A6" t="s">
        <v>45</v>
      </c>
      <c r="B6" t="s">
        <v>46</v>
      </c>
      <c r="C6" t="s">
        <v>47</v>
      </c>
      <c r="D6">
        <v>2009</v>
      </c>
      <c r="E6" t="s">
        <v>108</v>
      </c>
      <c r="F6" t="s">
        <v>108</v>
      </c>
      <c r="G6" t="s">
        <v>32</v>
      </c>
      <c r="H6" t="s">
        <v>182</v>
      </c>
      <c r="I6" t="s">
        <v>183</v>
      </c>
      <c r="J6">
        <f t="shared" si="0"/>
        <v>36</v>
      </c>
      <c r="K6" t="str">
        <f t="shared" si="1"/>
        <v>Out</v>
      </c>
      <c r="L6" t="s">
        <v>184</v>
      </c>
      <c r="M6" t="s">
        <v>185</v>
      </c>
      <c r="N6" t="s">
        <v>186</v>
      </c>
      <c r="O6" t="s">
        <v>187</v>
      </c>
      <c r="P6" t="s">
        <v>44</v>
      </c>
      <c r="Q6" t="s">
        <v>24</v>
      </c>
      <c r="R6" t="s">
        <v>32</v>
      </c>
      <c r="S6" t="s">
        <v>32</v>
      </c>
    </row>
    <row r="7" spans="1:19" x14ac:dyDescent="0.3">
      <c r="A7" t="s">
        <v>56</v>
      </c>
      <c r="B7" t="s">
        <v>57</v>
      </c>
      <c r="C7" t="s">
        <v>58</v>
      </c>
      <c r="D7">
        <v>2009</v>
      </c>
      <c r="E7" t="s">
        <v>104</v>
      </c>
      <c r="F7" t="s">
        <v>59</v>
      </c>
      <c r="G7" t="s">
        <v>95</v>
      </c>
      <c r="H7" t="s">
        <v>188</v>
      </c>
      <c r="I7" t="s">
        <v>189</v>
      </c>
      <c r="J7">
        <f t="shared" si="0"/>
        <v>21</v>
      </c>
      <c r="K7" t="str">
        <f t="shared" si="1"/>
        <v>Not Out</v>
      </c>
      <c r="L7" t="s">
        <v>190</v>
      </c>
      <c r="M7" t="s">
        <v>191</v>
      </c>
      <c r="N7" t="s">
        <v>192</v>
      </c>
      <c r="O7" t="s">
        <v>85</v>
      </c>
      <c r="P7" t="s">
        <v>36</v>
      </c>
      <c r="Q7" t="s">
        <v>32</v>
      </c>
      <c r="R7" t="s">
        <v>32</v>
      </c>
      <c r="S7" t="s">
        <v>32</v>
      </c>
    </row>
    <row r="8" spans="1:19" x14ac:dyDescent="0.3">
      <c r="A8" t="s">
        <v>120</v>
      </c>
      <c r="B8" t="s">
        <v>121</v>
      </c>
      <c r="C8" t="s">
        <v>122</v>
      </c>
      <c r="D8">
        <v>2009</v>
      </c>
      <c r="E8" t="s">
        <v>77</v>
      </c>
      <c r="F8" t="s">
        <v>85</v>
      </c>
      <c r="G8" t="s">
        <v>44</v>
      </c>
      <c r="H8" t="s">
        <v>193</v>
      </c>
      <c r="I8" t="s">
        <v>194</v>
      </c>
      <c r="J8">
        <f t="shared" si="0"/>
        <v>41</v>
      </c>
      <c r="K8" t="str">
        <f t="shared" si="1"/>
        <v>Not Out</v>
      </c>
      <c r="L8" t="s">
        <v>195</v>
      </c>
      <c r="M8" t="s">
        <v>196</v>
      </c>
      <c r="N8" t="s">
        <v>197</v>
      </c>
      <c r="O8" t="s">
        <v>78</v>
      </c>
      <c r="P8" t="s">
        <v>36</v>
      </c>
      <c r="Q8" t="s">
        <v>32</v>
      </c>
      <c r="R8" t="s">
        <v>32</v>
      </c>
      <c r="S8" t="s">
        <v>32</v>
      </c>
    </row>
    <row r="9" spans="1:19" x14ac:dyDescent="0.3">
      <c r="A9" t="s">
        <v>198</v>
      </c>
      <c r="B9" t="s">
        <v>199</v>
      </c>
      <c r="C9" t="s">
        <v>200</v>
      </c>
      <c r="D9">
        <v>2009</v>
      </c>
      <c r="E9" t="s">
        <v>24</v>
      </c>
      <c r="F9" t="s">
        <v>24</v>
      </c>
      <c r="G9" t="s">
        <v>55</v>
      </c>
      <c r="H9" t="s">
        <v>201</v>
      </c>
      <c r="I9" t="s">
        <v>94</v>
      </c>
      <c r="J9">
        <f t="shared" si="0"/>
        <v>24</v>
      </c>
      <c r="K9" t="str">
        <f t="shared" si="1"/>
        <v>Out</v>
      </c>
      <c r="L9" t="s">
        <v>167</v>
      </c>
      <c r="M9" t="s">
        <v>202</v>
      </c>
      <c r="N9" t="s">
        <v>203</v>
      </c>
      <c r="O9" t="s">
        <v>78</v>
      </c>
      <c r="P9" t="s">
        <v>44</v>
      </c>
      <c r="Q9" t="s">
        <v>32</v>
      </c>
      <c r="R9" t="s">
        <v>32</v>
      </c>
      <c r="S9" t="s">
        <v>32</v>
      </c>
    </row>
    <row r="10" spans="1:19" x14ac:dyDescent="0.3">
      <c r="A10" t="s">
        <v>204</v>
      </c>
      <c r="B10" t="s">
        <v>205</v>
      </c>
      <c r="C10" t="s">
        <v>206</v>
      </c>
      <c r="D10">
        <v>2009</v>
      </c>
      <c r="E10" t="s">
        <v>36</v>
      </c>
      <c r="F10" t="s">
        <v>36</v>
      </c>
      <c r="G10" t="s">
        <v>32</v>
      </c>
      <c r="H10" t="s">
        <v>163</v>
      </c>
      <c r="I10" t="s">
        <v>207</v>
      </c>
      <c r="J10">
        <f t="shared" si="0"/>
        <v>31</v>
      </c>
      <c r="K10" t="str">
        <f t="shared" si="1"/>
        <v>Out</v>
      </c>
      <c r="L10" t="s">
        <v>208</v>
      </c>
      <c r="M10" t="s">
        <v>209</v>
      </c>
      <c r="N10" t="s">
        <v>210</v>
      </c>
      <c r="O10" t="s">
        <v>36</v>
      </c>
      <c r="P10" t="s">
        <v>44</v>
      </c>
      <c r="Q10" t="s">
        <v>32</v>
      </c>
      <c r="R10" t="s">
        <v>32</v>
      </c>
      <c r="S10" t="s">
        <v>32</v>
      </c>
    </row>
    <row r="11" spans="1:19" x14ac:dyDescent="0.3">
      <c r="A11" t="s">
        <v>211</v>
      </c>
      <c r="B11" t="s">
        <v>212</v>
      </c>
      <c r="C11" t="s">
        <v>213</v>
      </c>
      <c r="D11">
        <v>2009</v>
      </c>
      <c r="E11" t="s">
        <v>24</v>
      </c>
      <c r="F11" t="s">
        <v>44</v>
      </c>
      <c r="G11" t="s">
        <v>32</v>
      </c>
      <c r="H11" t="s">
        <v>69</v>
      </c>
      <c r="I11" t="s">
        <v>214</v>
      </c>
      <c r="J11">
        <f t="shared" si="0"/>
        <v>30</v>
      </c>
      <c r="K11" t="str">
        <f t="shared" si="1"/>
        <v>Out</v>
      </c>
      <c r="L11" t="s">
        <v>215</v>
      </c>
      <c r="M11" t="s">
        <v>216</v>
      </c>
      <c r="N11" t="s">
        <v>217</v>
      </c>
      <c r="O11" t="s">
        <v>143</v>
      </c>
      <c r="P11" t="s">
        <v>32</v>
      </c>
      <c r="Q11" t="s">
        <v>32</v>
      </c>
      <c r="R11" t="s">
        <v>32</v>
      </c>
      <c r="S11" t="s">
        <v>32</v>
      </c>
    </row>
    <row r="12" spans="1:19" x14ac:dyDescent="0.3">
      <c r="A12" t="s">
        <v>218</v>
      </c>
      <c r="B12" t="s">
        <v>219</v>
      </c>
      <c r="C12" t="s">
        <v>220</v>
      </c>
      <c r="D12">
        <v>2009</v>
      </c>
      <c r="E12" t="s">
        <v>108</v>
      </c>
      <c r="F12" t="s">
        <v>44</v>
      </c>
      <c r="G12" t="s">
        <v>55</v>
      </c>
      <c r="H12" t="s">
        <v>181</v>
      </c>
      <c r="I12" t="s">
        <v>48</v>
      </c>
      <c r="J12">
        <f t="shared" si="0"/>
        <v>13</v>
      </c>
      <c r="K12" t="str">
        <f t="shared" si="1"/>
        <v>Out</v>
      </c>
      <c r="L12" t="s">
        <v>221</v>
      </c>
      <c r="M12" t="s">
        <v>43</v>
      </c>
      <c r="N12" t="s">
        <v>222</v>
      </c>
      <c r="O12" t="s">
        <v>24</v>
      </c>
      <c r="P12" t="s">
        <v>32</v>
      </c>
      <c r="Q12" t="s">
        <v>32</v>
      </c>
      <c r="R12" t="s">
        <v>32</v>
      </c>
      <c r="S12" t="s">
        <v>32</v>
      </c>
    </row>
    <row r="13" spans="1:19" x14ac:dyDescent="0.3">
      <c r="A13" t="s">
        <v>125</v>
      </c>
      <c r="B13" t="s">
        <v>126</v>
      </c>
      <c r="C13" t="s">
        <v>126</v>
      </c>
      <c r="D13">
        <v>2009</v>
      </c>
      <c r="E13" t="s">
        <v>36</v>
      </c>
      <c r="F13" t="s">
        <v>44</v>
      </c>
      <c r="G13" t="s">
        <v>55</v>
      </c>
      <c r="H13" t="s">
        <v>181</v>
      </c>
      <c r="I13" t="s">
        <v>223</v>
      </c>
      <c r="J13">
        <f t="shared" si="0"/>
        <v>16</v>
      </c>
      <c r="K13" t="str">
        <f t="shared" si="1"/>
        <v>Not Out</v>
      </c>
      <c r="L13" t="s">
        <v>221</v>
      </c>
      <c r="M13" t="s">
        <v>31</v>
      </c>
      <c r="N13" t="s">
        <v>224</v>
      </c>
      <c r="O13" t="s">
        <v>32</v>
      </c>
      <c r="P13" t="s">
        <v>55</v>
      </c>
      <c r="Q13" t="s">
        <v>32</v>
      </c>
      <c r="R13" t="s">
        <v>32</v>
      </c>
      <c r="S13" t="s">
        <v>32</v>
      </c>
    </row>
    <row r="14" spans="1:19" x14ac:dyDescent="0.3">
      <c r="A14" t="s">
        <v>113</v>
      </c>
      <c r="B14" t="s">
        <v>114</v>
      </c>
      <c r="C14" t="s">
        <v>115</v>
      </c>
      <c r="D14">
        <v>2009</v>
      </c>
      <c r="E14" t="s">
        <v>143</v>
      </c>
      <c r="F14" t="s">
        <v>24</v>
      </c>
      <c r="G14" t="s">
        <v>55</v>
      </c>
      <c r="H14" t="s">
        <v>48</v>
      </c>
      <c r="I14" t="s">
        <v>143</v>
      </c>
      <c r="J14">
        <f t="shared" si="0"/>
        <v>7</v>
      </c>
      <c r="K14" t="str">
        <f t="shared" si="1"/>
        <v>Out</v>
      </c>
      <c r="L14" t="s">
        <v>225</v>
      </c>
      <c r="M14" t="s">
        <v>143</v>
      </c>
      <c r="N14" t="s">
        <v>226</v>
      </c>
      <c r="O14" t="s">
        <v>32</v>
      </c>
      <c r="P14" t="s">
        <v>44</v>
      </c>
      <c r="Q14" t="s">
        <v>32</v>
      </c>
      <c r="R14" t="s">
        <v>32</v>
      </c>
      <c r="S14" t="s">
        <v>32</v>
      </c>
    </row>
    <row r="15" spans="1:19" x14ac:dyDescent="0.3">
      <c r="A15" t="s">
        <v>227</v>
      </c>
      <c r="B15" t="s">
        <v>228</v>
      </c>
      <c r="C15" t="s">
        <v>229</v>
      </c>
      <c r="D15">
        <v>2009</v>
      </c>
      <c r="E15" t="s">
        <v>44</v>
      </c>
      <c r="F15" t="s">
        <v>55</v>
      </c>
      <c r="G15" t="s">
        <v>32</v>
      </c>
      <c r="H15" t="s">
        <v>85</v>
      </c>
      <c r="I15" t="s">
        <v>85</v>
      </c>
      <c r="J15">
        <f t="shared" si="0"/>
        <v>8</v>
      </c>
      <c r="K15" t="str">
        <f t="shared" si="1"/>
        <v>Out</v>
      </c>
      <c r="L15" t="s">
        <v>127</v>
      </c>
      <c r="M15" t="s">
        <v>43</v>
      </c>
      <c r="N15" t="s">
        <v>230</v>
      </c>
      <c r="O15" t="s">
        <v>55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152</v>
      </c>
      <c r="B16" t="s">
        <v>153</v>
      </c>
      <c r="C16" t="s">
        <v>154</v>
      </c>
      <c r="D16">
        <v>2009</v>
      </c>
      <c r="E16" t="s">
        <v>48</v>
      </c>
      <c r="F16" t="s">
        <v>36</v>
      </c>
      <c r="G16" t="s">
        <v>44</v>
      </c>
      <c r="H16" t="s">
        <v>85</v>
      </c>
      <c r="I16" t="s">
        <v>36</v>
      </c>
      <c r="J16">
        <f t="shared" si="0"/>
        <v>4</v>
      </c>
      <c r="K16" t="str">
        <f t="shared" si="1"/>
        <v>Out</v>
      </c>
      <c r="L16" t="s">
        <v>231</v>
      </c>
      <c r="M16" t="s">
        <v>85</v>
      </c>
      <c r="N16" t="s">
        <v>232</v>
      </c>
      <c r="O16" t="s">
        <v>55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145</v>
      </c>
      <c r="B17" t="s">
        <v>146</v>
      </c>
      <c r="C17" t="s">
        <v>147</v>
      </c>
      <c r="D17">
        <v>2009</v>
      </c>
      <c r="E17" t="s">
        <v>48</v>
      </c>
      <c r="F17" t="s">
        <v>36</v>
      </c>
      <c r="G17" t="s">
        <v>55</v>
      </c>
      <c r="H17" t="s">
        <v>36</v>
      </c>
      <c r="I17" t="s">
        <v>233</v>
      </c>
      <c r="J17">
        <f t="shared" si="0"/>
        <v>2</v>
      </c>
      <c r="K17" t="str">
        <f t="shared" si="1"/>
        <v>Not Out</v>
      </c>
      <c r="L17" t="s">
        <v>234</v>
      </c>
      <c r="M17" t="s">
        <v>59</v>
      </c>
      <c r="N17" t="s">
        <v>235</v>
      </c>
      <c r="O17" t="s">
        <v>32</v>
      </c>
      <c r="P17" t="s">
        <v>32</v>
      </c>
      <c r="Q17" t="s">
        <v>44</v>
      </c>
      <c r="R17" t="s">
        <v>32</v>
      </c>
      <c r="S17" t="s">
        <v>32</v>
      </c>
    </row>
    <row r="18" spans="1:19" x14ac:dyDescent="0.3">
      <c r="A18" t="s">
        <v>236</v>
      </c>
      <c r="B18" t="s">
        <v>237</v>
      </c>
      <c r="C18" t="s">
        <v>238</v>
      </c>
      <c r="D18">
        <v>2009</v>
      </c>
      <c r="E18" t="s">
        <v>44</v>
      </c>
      <c r="F18" t="s">
        <v>44</v>
      </c>
      <c r="G18" t="s">
        <v>55</v>
      </c>
      <c r="H18" t="s">
        <v>44</v>
      </c>
      <c r="I18" t="s">
        <v>239</v>
      </c>
      <c r="J18">
        <f t="shared" si="0"/>
        <v>1</v>
      </c>
      <c r="K18" t="str">
        <f t="shared" si="1"/>
        <v>Not Out</v>
      </c>
      <c r="L18" t="s">
        <v>240</v>
      </c>
      <c r="M18" t="s">
        <v>143</v>
      </c>
      <c r="N18" t="s">
        <v>241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</row>
    <row r="19" spans="1:19" x14ac:dyDescent="0.3">
      <c r="A19" t="s">
        <v>242</v>
      </c>
      <c r="B19" t="s">
        <v>243</v>
      </c>
      <c r="C19" t="s">
        <v>1025</v>
      </c>
      <c r="D19">
        <v>2009</v>
      </c>
      <c r="E19" t="s">
        <v>85</v>
      </c>
      <c r="F19" t="s">
        <v>44</v>
      </c>
      <c r="G19" t="s">
        <v>55</v>
      </c>
      <c r="H19" t="s">
        <v>32</v>
      </c>
      <c r="I19" t="s">
        <v>244</v>
      </c>
      <c r="J19">
        <f t="shared" si="0"/>
        <v>0</v>
      </c>
      <c r="K19" t="str">
        <f t="shared" si="1"/>
        <v>Not Out</v>
      </c>
      <c r="L19" t="s">
        <v>148</v>
      </c>
      <c r="M19" t="s">
        <v>32</v>
      </c>
      <c r="N19" t="s">
        <v>157</v>
      </c>
      <c r="O19" t="s">
        <v>32</v>
      </c>
      <c r="P19" t="s">
        <v>32</v>
      </c>
      <c r="Q19" t="s">
        <v>55</v>
      </c>
      <c r="R19" t="s">
        <v>32</v>
      </c>
      <c r="S19" t="s">
        <v>32</v>
      </c>
    </row>
  </sheetData>
  <pageMargins left="0.75" right="0.75" top="1" bottom="1" header="0.5" footer="0.5"/>
  <ignoredErrors>
    <ignoredError sqref="A2:S18 A20:S20 A19:B19 D19:S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"/>
  <sheetViews>
    <sheetView workbookViewId="0">
      <selection activeCell="B25" sqref="B25"/>
    </sheetView>
  </sheetViews>
  <sheetFormatPr defaultRowHeight="15.6" x14ac:dyDescent="0.3"/>
  <cols>
    <col min="1" max="1" width="8.69921875" bestFit="1" customWidth="1"/>
    <col min="2" max="2" width="14.796875" bestFit="1" customWidth="1"/>
    <col min="3" max="3" width="27.0976562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2010</v>
      </c>
      <c r="E2" t="s">
        <v>22</v>
      </c>
      <c r="F2" t="s">
        <v>22</v>
      </c>
      <c r="G2" t="s">
        <v>78</v>
      </c>
      <c r="H2" t="s">
        <v>245</v>
      </c>
      <c r="I2" t="s">
        <v>246</v>
      </c>
      <c r="J2">
        <f t="shared" ref="J2:J24" si="0">IF(I2="-", "-", VALUE(SUBSTITUTE(I2,"*","")))</f>
        <v>83</v>
      </c>
      <c r="K2" t="str">
        <f t="shared" ref="K2:K24" si="1">IF(I2="-", "-", IF(ISNUMBER(FIND("*", I2)), "Not Out", "Out"))</f>
        <v>Not Out</v>
      </c>
      <c r="L2" t="s">
        <v>247</v>
      </c>
      <c r="M2" t="s">
        <v>248</v>
      </c>
      <c r="N2" t="s">
        <v>249</v>
      </c>
      <c r="O2" t="s">
        <v>69</v>
      </c>
      <c r="P2" t="s">
        <v>164</v>
      </c>
      <c r="Q2" t="s">
        <v>32</v>
      </c>
      <c r="R2" t="s">
        <v>36</v>
      </c>
      <c r="S2" t="s">
        <v>32</v>
      </c>
    </row>
    <row r="3" spans="1:19" x14ac:dyDescent="0.3">
      <c r="A3" t="s">
        <v>204</v>
      </c>
      <c r="B3" t="s">
        <v>205</v>
      </c>
      <c r="C3" t="s">
        <v>206</v>
      </c>
      <c r="D3">
        <v>2010</v>
      </c>
      <c r="E3" t="s">
        <v>43</v>
      </c>
      <c r="F3" t="s">
        <v>43</v>
      </c>
      <c r="G3" t="s">
        <v>44</v>
      </c>
      <c r="H3" t="s">
        <v>250</v>
      </c>
      <c r="I3" t="s">
        <v>251</v>
      </c>
      <c r="J3">
        <f t="shared" si="0"/>
        <v>127</v>
      </c>
      <c r="K3" t="str">
        <f t="shared" si="1"/>
        <v>Out</v>
      </c>
      <c r="L3" t="s">
        <v>252</v>
      </c>
      <c r="M3" t="s">
        <v>253</v>
      </c>
      <c r="N3" t="s">
        <v>254</v>
      </c>
      <c r="O3" t="s">
        <v>183</v>
      </c>
      <c r="P3" t="s">
        <v>255</v>
      </c>
      <c r="Q3" t="s">
        <v>55</v>
      </c>
      <c r="R3" t="s">
        <v>44</v>
      </c>
      <c r="S3" t="s">
        <v>55</v>
      </c>
    </row>
    <row r="4" spans="1:19" x14ac:dyDescent="0.3">
      <c r="A4" t="s">
        <v>74</v>
      </c>
      <c r="B4" t="s">
        <v>75</v>
      </c>
      <c r="C4" t="s">
        <v>76</v>
      </c>
      <c r="D4">
        <v>2010</v>
      </c>
      <c r="E4" t="s">
        <v>22</v>
      </c>
      <c r="F4" t="s">
        <v>43</v>
      </c>
      <c r="G4" t="s">
        <v>36</v>
      </c>
      <c r="H4" t="s">
        <v>256</v>
      </c>
      <c r="I4" t="s">
        <v>26</v>
      </c>
      <c r="J4">
        <f t="shared" si="0"/>
        <v>55</v>
      </c>
      <c r="K4" t="str">
        <f t="shared" si="1"/>
        <v>Not Out</v>
      </c>
      <c r="L4" t="s">
        <v>257</v>
      </c>
      <c r="M4" t="s">
        <v>258</v>
      </c>
      <c r="N4" t="s">
        <v>259</v>
      </c>
      <c r="O4" t="s">
        <v>260</v>
      </c>
      <c r="P4" t="s">
        <v>78</v>
      </c>
      <c r="Q4" t="s">
        <v>32</v>
      </c>
      <c r="R4" t="s">
        <v>44</v>
      </c>
      <c r="S4" t="s">
        <v>32</v>
      </c>
    </row>
    <row r="5" spans="1:19" x14ac:dyDescent="0.3">
      <c r="A5" t="s">
        <v>86</v>
      </c>
      <c r="B5" t="s">
        <v>87</v>
      </c>
      <c r="C5" t="s">
        <v>88</v>
      </c>
      <c r="D5">
        <v>2010</v>
      </c>
      <c r="E5" t="s">
        <v>22</v>
      </c>
      <c r="F5" t="s">
        <v>22</v>
      </c>
      <c r="G5" t="s">
        <v>32</v>
      </c>
      <c r="H5" t="s">
        <v>261</v>
      </c>
      <c r="I5" t="s">
        <v>196</v>
      </c>
      <c r="J5">
        <f t="shared" si="0"/>
        <v>93</v>
      </c>
      <c r="K5" t="str">
        <f t="shared" si="1"/>
        <v>Out</v>
      </c>
      <c r="L5" t="s">
        <v>262</v>
      </c>
      <c r="M5" t="s">
        <v>263</v>
      </c>
      <c r="N5" t="s">
        <v>264</v>
      </c>
      <c r="O5" t="s">
        <v>170</v>
      </c>
      <c r="P5" t="s">
        <v>22</v>
      </c>
      <c r="Q5" t="s">
        <v>55</v>
      </c>
      <c r="R5" t="s">
        <v>55</v>
      </c>
      <c r="S5" t="s">
        <v>32</v>
      </c>
    </row>
    <row r="6" spans="1:19" x14ac:dyDescent="0.3">
      <c r="A6" t="s">
        <v>33</v>
      </c>
      <c r="B6" t="s">
        <v>34</v>
      </c>
      <c r="C6" t="s">
        <v>35</v>
      </c>
      <c r="D6">
        <v>2010</v>
      </c>
      <c r="E6" t="s">
        <v>48</v>
      </c>
      <c r="F6" t="s">
        <v>77</v>
      </c>
      <c r="G6" t="s">
        <v>44</v>
      </c>
      <c r="H6" t="s">
        <v>265</v>
      </c>
      <c r="I6" t="s">
        <v>266</v>
      </c>
      <c r="J6">
        <f t="shared" si="0"/>
        <v>66</v>
      </c>
      <c r="K6" t="str">
        <f t="shared" si="1"/>
        <v>Not Out</v>
      </c>
      <c r="L6" t="s">
        <v>267</v>
      </c>
      <c r="M6" t="s">
        <v>268</v>
      </c>
      <c r="N6" t="s">
        <v>269</v>
      </c>
      <c r="O6" t="s">
        <v>255</v>
      </c>
      <c r="P6" t="s">
        <v>85</v>
      </c>
      <c r="Q6" t="s">
        <v>44</v>
      </c>
      <c r="R6" t="s">
        <v>44</v>
      </c>
      <c r="S6" t="s">
        <v>32</v>
      </c>
    </row>
    <row r="7" spans="1:19" x14ac:dyDescent="0.3">
      <c r="A7" t="s">
        <v>56</v>
      </c>
      <c r="B7" t="s">
        <v>57</v>
      </c>
      <c r="C7" t="s">
        <v>58</v>
      </c>
      <c r="D7">
        <v>2010</v>
      </c>
      <c r="E7" t="s">
        <v>23</v>
      </c>
      <c r="F7" t="s">
        <v>77</v>
      </c>
      <c r="G7" t="s">
        <v>24</v>
      </c>
      <c r="H7" t="s">
        <v>270</v>
      </c>
      <c r="I7" t="s">
        <v>201</v>
      </c>
      <c r="J7">
        <f t="shared" si="0"/>
        <v>62</v>
      </c>
      <c r="K7" t="str">
        <f t="shared" si="1"/>
        <v>Out</v>
      </c>
      <c r="L7" t="s">
        <v>271</v>
      </c>
      <c r="M7" t="s">
        <v>92</v>
      </c>
      <c r="N7" t="s">
        <v>272</v>
      </c>
      <c r="O7" t="s">
        <v>59</v>
      </c>
      <c r="P7" t="s">
        <v>48</v>
      </c>
      <c r="Q7" t="s">
        <v>55</v>
      </c>
      <c r="R7" t="s">
        <v>55</v>
      </c>
      <c r="S7" t="s">
        <v>32</v>
      </c>
    </row>
    <row r="8" spans="1:19" x14ac:dyDescent="0.3">
      <c r="A8" t="s">
        <v>45</v>
      </c>
      <c r="B8" t="s">
        <v>46</v>
      </c>
      <c r="C8" t="s">
        <v>47</v>
      </c>
      <c r="D8">
        <v>2010</v>
      </c>
      <c r="E8" t="s">
        <v>36</v>
      </c>
      <c r="F8" t="s">
        <v>36</v>
      </c>
      <c r="G8" t="s">
        <v>32</v>
      </c>
      <c r="H8" t="s">
        <v>273</v>
      </c>
      <c r="I8" t="s">
        <v>274</v>
      </c>
      <c r="J8">
        <f t="shared" si="0"/>
        <v>57</v>
      </c>
      <c r="K8" t="str">
        <f t="shared" si="1"/>
        <v>Out</v>
      </c>
      <c r="L8" t="s">
        <v>123</v>
      </c>
      <c r="M8" t="s">
        <v>275</v>
      </c>
      <c r="N8" t="s">
        <v>276</v>
      </c>
      <c r="O8" t="s">
        <v>95</v>
      </c>
      <c r="P8" t="s">
        <v>44</v>
      </c>
      <c r="Q8" t="s">
        <v>32</v>
      </c>
      <c r="R8" t="s">
        <v>55</v>
      </c>
      <c r="S8" t="s">
        <v>32</v>
      </c>
    </row>
    <row r="9" spans="1:19" x14ac:dyDescent="0.3">
      <c r="A9" t="s">
        <v>96</v>
      </c>
      <c r="B9" t="s">
        <v>97</v>
      </c>
      <c r="C9" t="s">
        <v>98</v>
      </c>
      <c r="D9">
        <v>2010</v>
      </c>
      <c r="E9" t="s">
        <v>24</v>
      </c>
      <c r="F9" t="s">
        <v>24</v>
      </c>
      <c r="G9" t="s">
        <v>55</v>
      </c>
      <c r="H9" t="s">
        <v>170</v>
      </c>
      <c r="I9" t="s">
        <v>43</v>
      </c>
      <c r="J9">
        <f t="shared" si="0"/>
        <v>15</v>
      </c>
      <c r="K9" t="str">
        <f t="shared" si="1"/>
        <v>Out</v>
      </c>
      <c r="L9" t="s">
        <v>277</v>
      </c>
      <c r="M9" t="s">
        <v>278</v>
      </c>
      <c r="N9" t="s">
        <v>279</v>
      </c>
      <c r="O9" t="s">
        <v>44</v>
      </c>
      <c r="P9" t="s">
        <v>32</v>
      </c>
      <c r="Q9" t="s">
        <v>32</v>
      </c>
      <c r="R9" t="s">
        <v>32</v>
      </c>
      <c r="S9" t="s">
        <v>32</v>
      </c>
    </row>
    <row r="10" spans="1:19" x14ac:dyDescent="0.3">
      <c r="A10" t="s">
        <v>139</v>
      </c>
      <c r="B10" t="s">
        <v>140</v>
      </c>
      <c r="C10" t="s">
        <v>141</v>
      </c>
      <c r="D10">
        <v>2010</v>
      </c>
      <c r="E10" t="s">
        <v>36</v>
      </c>
      <c r="F10" t="s">
        <v>24</v>
      </c>
      <c r="G10" t="s">
        <v>44</v>
      </c>
      <c r="H10" t="s">
        <v>214</v>
      </c>
      <c r="I10" t="s">
        <v>94</v>
      </c>
      <c r="J10">
        <f t="shared" si="0"/>
        <v>24</v>
      </c>
      <c r="K10" t="str">
        <f t="shared" si="1"/>
        <v>Out</v>
      </c>
      <c r="L10" t="s">
        <v>280</v>
      </c>
      <c r="M10" t="s">
        <v>31</v>
      </c>
      <c r="N10" t="s">
        <v>281</v>
      </c>
      <c r="O10" t="s">
        <v>44</v>
      </c>
      <c r="P10" t="s">
        <v>44</v>
      </c>
      <c r="Q10" t="s">
        <v>32</v>
      </c>
      <c r="R10" t="s">
        <v>32</v>
      </c>
      <c r="S10" t="s">
        <v>32</v>
      </c>
    </row>
    <row r="11" spans="1:19" x14ac:dyDescent="0.3">
      <c r="A11" t="s">
        <v>227</v>
      </c>
      <c r="B11" t="s">
        <v>228</v>
      </c>
      <c r="C11" t="s">
        <v>229</v>
      </c>
      <c r="D11">
        <v>2010</v>
      </c>
      <c r="E11" t="s">
        <v>104</v>
      </c>
      <c r="F11" t="s">
        <v>95</v>
      </c>
      <c r="G11" t="s">
        <v>44</v>
      </c>
      <c r="H11" t="s">
        <v>214</v>
      </c>
      <c r="I11" t="s">
        <v>282</v>
      </c>
      <c r="J11">
        <f t="shared" si="0"/>
        <v>11</v>
      </c>
      <c r="K11" t="str">
        <f t="shared" si="1"/>
        <v>Not Out</v>
      </c>
      <c r="L11" t="s">
        <v>283</v>
      </c>
      <c r="M11" t="s">
        <v>284</v>
      </c>
      <c r="N11" t="s">
        <v>285</v>
      </c>
      <c r="O11" t="s">
        <v>44</v>
      </c>
      <c r="P11" t="s">
        <v>32</v>
      </c>
      <c r="Q11" t="s">
        <v>55</v>
      </c>
      <c r="R11" t="s">
        <v>32</v>
      </c>
      <c r="S11" t="s">
        <v>32</v>
      </c>
    </row>
    <row r="12" spans="1:19" x14ac:dyDescent="0.3">
      <c r="A12" t="s">
        <v>286</v>
      </c>
      <c r="B12" t="s">
        <v>287</v>
      </c>
      <c r="C12" t="s">
        <v>288</v>
      </c>
      <c r="D12">
        <v>2010</v>
      </c>
      <c r="E12" t="s">
        <v>78</v>
      </c>
      <c r="F12" t="s">
        <v>44</v>
      </c>
      <c r="G12" t="s">
        <v>32</v>
      </c>
      <c r="H12" t="s">
        <v>255</v>
      </c>
      <c r="I12" t="s">
        <v>164</v>
      </c>
      <c r="J12">
        <f t="shared" si="0"/>
        <v>22</v>
      </c>
      <c r="K12" t="str">
        <f t="shared" si="1"/>
        <v>Out</v>
      </c>
      <c r="L12" t="s">
        <v>289</v>
      </c>
      <c r="M12" t="s">
        <v>94</v>
      </c>
      <c r="N12" t="s">
        <v>290</v>
      </c>
      <c r="O12" t="s">
        <v>55</v>
      </c>
      <c r="P12" t="s">
        <v>55</v>
      </c>
      <c r="Q12" t="s">
        <v>32</v>
      </c>
      <c r="R12" t="s">
        <v>32</v>
      </c>
      <c r="S12" t="s">
        <v>32</v>
      </c>
    </row>
    <row r="13" spans="1:19" x14ac:dyDescent="0.3">
      <c r="A13" t="s">
        <v>211</v>
      </c>
      <c r="B13" t="s">
        <v>212</v>
      </c>
      <c r="C13" t="s">
        <v>213</v>
      </c>
      <c r="D13">
        <v>2010</v>
      </c>
      <c r="E13" t="s">
        <v>55</v>
      </c>
      <c r="F13" t="s">
        <v>55</v>
      </c>
      <c r="G13" t="s">
        <v>32</v>
      </c>
      <c r="H13" t="s">
        <v>31</v>
      </c>
      <c r="I13" t="s">
        <v>31</v>
      </c>
      <c r="J13">
        <f t="shared" si="0"/>
        <v>18</v>
      </c>
      <c r="K13" t="str">
        <f t="shared" si="1"/>
        <v>Out</v>
      </c>
      <c r="L13" t="s">
        <v>123</v>
      </c>
      <c r="M13" t="s">
        <v>73</v>
      </c>
      <c r="N13" t="s">
        <v>291</v>
      </c>
      <c r="O13" t="s">
        <v>44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145</v>
      </c>
      <c r="B14" t="s">
        <v>146</v>
      </c>
      <c r="C14" t="s">
        <v>147</v>
      </c>
      <c r="D14">
        <v>2010</v>
      </c>
      <c r="E14" t="s">
        <v>143</v>
      </c>
      <c r="F14" t="s">
        <v>24</v>
      </c>
      <c r="G14" t="s">
        <v>55</v>
      </c>
      <c r="H14" t="s">
        <v>31</v>
      </c>
      <c r="I14" t="s">
        <v>43</v>
      </c>
      <c r="J14">
        <f t="shared" si="0"/>
        <v>15</v>
      </c>
      <c r="K14" t="str">
        <f t="shared" si="1"/>
        <v>Out</v>
      </c>
      <c r="L14" t="s">
        <v>292</v>
      </c>
      <c r="M14" t="s">
        <v>181</v>
      </c>
      <c r="N14" t="s">
        <v>293</v>
      </c>
      <c r="O14" t="s">
        <v>55</v>
      </c>
      <c r="P14" t="s">
        <v>55</v>
      </c>
      <c r="Q14" t="s">
        <v>32</v>
      </c>
      <c r="R14" t="s">
        <v>32</v>
      </c>
      <c r="S14" t="s">
        <v>32</v>
      </c>
    </row>
    <row r="15" spans="1:19" x14ac:dyDescent="0.3">
      <c r="A15" t="s">
        <v>294</v>
      </c>
      <c r="B15" t="s">
        <v>295</v>
      </c>
      <c r="C15" t="s">
        <v>296</v>
      </c>
      <c r="D15">
        <v>2010</v>
      </c>
      <c r="E15" t="s">
        <v>85</v>
      </c>
      <c r="F15" t="s">
        <v>44</v>
      </c>
      <c r="G15" t="s">
        <v>44</v>
      </c>
      <c r="H15" t="s">
        <v>31</v>
      </c>
      <c r="I15" t="s">
        <v>223</v>
      </c>
      <c r="J15">
        <f t="shared" si="0"/>
        <v>16</v>
      </c>
      <c r="K15" t="str">
        <f t="shared" si="1"/>
        <v>Not Out</v>
      </c>
      <c r="L15" t="s">
        <v>157</v>
      </c>
      <c r="M15" t="s">
        <v>297</v>
      </c>
      <c r="N15" t="s">
        <v>298</v>
      </c>
      <c r="O15" t="s">
        <v>55</v>
      </c>
      <c r="P15" t="s">
        <v>55</v>
      </c>
      <c r="Q15" t="s">
        <v>32</v>
      </c>
      <c r="R15" t="s">
        <v>32</v>
      </c>
      <c r="S15" t="s">
        <v>32</v>
      </c>
    </row>
    <row r="16" spans="1:19" x14ac:dyDescent="0.3">
      <c r="A16" t="s">
        <v>236</v>
      </c>
      <c r="B16" t="s">
        <v>237</v>
      </c>
      <c r="C16" t="s">
        <v>238</v>
      </c>
      <c r="D16">
        <v>2010</v>
      </c>
      <c r="E16" t="s">
        <v>36</v>
      </c>
      <c r="F16" t="s">
        <v>44</v>
      </c>
      <c r="G16" t="s">
        <v>55</v>
      </c>
      <c r="H16" t="s">
        <v>59</v>
      </c>
      <c r="I16" t="s">
        <v>85</v>
      </c>
      <c r="J16">
        <f t="shared" si="0"/>
        <v>8</v>
      </c>
      <c r="K16" t="str">
        <f t="shared" si="1"/>
        <v>Out</v>
      </c>
      <c r="L16" t="s">
        <v>299</v>
      </c>
      <c r="M16" t="s">
        <v>77</v>
      </c>
      <c r="N16" t="s">
        <v>300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301</v>
      </c>
      <c r="B17" t="s">
        <v>302</v>
      </c>
      <c r="C17" t="s">
        <v>302</v>
      </c>
      <c r="D17">
        <v>2010</v>
      </c>
      <c r="E17" t="s">
        <v>55</v>
      </c>
      <c r="F17" t="s">
        <v>55</v>
      </c>
      <c r="G17" t="s">
        <v>55</v>
      </c>
      <c r="H17" t="s">
        <v>24</v>
      </c>
      <c r="I17" t="s">
        <v>303</v>
      </c>
      <c r="J17">
        <f t="shared" si="0"/>
        <v>3</v>
      </c>
      <c r="K17" t="str">
        <f t="shared" si="1"/>
        <v>Not Out</v>
      </c>
      <c r="L17" t="s">
        <v>157</v>
      </c>
      <c r="M17" t="s">
        <v>78</v>
      </c>
      <c r="N17" t="s">
        <v>304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</row>
    <row r="18" spans="1:19" x14ac:dyDescent="0.3">
      <c r="A18" t="s">
        <v>242</v>
      </c>
      <c r="B18" t="s">
        <v>243</v>
      </c>
      <c r="C18" t="s">
        <v>1025</v>
      </c>
      <c r="D18">
        <v>2010</v>
      </c>
      <c r="E18" t="s">
        <v>95</v>
      </c>
      <c r="F18" t="s">
        <v>55</v>
      </c>
      <c r="G18" t="s">
        <v>55</v>
      </c>
      <c r="H18" t="s">
        <v>24</v>
      </c>
      <c r="I18" t="s">
        <v>303</v>
      </c>
      <c r="J18">
        <f t="shared" si="0"/>
        <v>3</v>
      </c>
      <c r="K18" t="str">
        <f t="shared" si="1"/>
        <v>Not Out</v>
      </c>
      <c r="L18" t="s">
        <v>157</v>
      </c>
      <c r="M18" t="s">
        <v>36</v>
      </c>
      <c r="N18" t="s">
        <v>285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</row>
    <row r="19" spans="1:19" x14ac:dyDescent="0.3">
      <c r="A19" t="s">
        <v>113</v>
      </c>
      <c r="B19" t="s">
        <v>114</v>
      </c>
      <c r="C19" t="s">
        <v>115</v>
      </c>
      <c r="D19">
        <v>2010</v>
      </c>
      <c r="E19" t="s">
        <v>24</v>
      </c>
      <c r="F19" t="s">
        <v>55</v>
      </c>
      <c r="G19" t="s">
        <v>32</v>
      </c>
      <c r="H19" t="s">
        <v>44</v>
      </c>
      <c r="I19" t="s">
        <v>44</v>
      </c>
      <c r="J19">
        <f t="shared" si="0"/>
        <v>2</v>
      </c>
      <c r="K19" t="str">
        <f t="shared" si="1"/>
        <v>Out</v>
      </c>
      <c r="L19" t="s">
        <v>240</v>
      </c>
      <c r="M19" t="s">
        <v>95</v>
      </c>
      <c r="N19" t="s">
        <v>305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</row>
    <row r="20" spans="1:19" x14ac:dyDescent="0.3">
      <c r="A20" t="s">
        <v>152</v>
      </c>
      <c r="B20" t="s">
        <v>153</v>
      </c>
      <c r="C20" t="s">
        <v>154</v>
      </c>
      <c r="D20">
        <v>2010</v>
      </c>
      <c r="E20" t="s">
        <v>104</v>
      </c>
      <c r="F20" t="s">
        <v>55</v>
      </c>
      <c r="G20" t="s">
        <v>32</v>
      </c>
      <c r="H20" t="s">
        <v>55</v>
      </c>
      <c r="I20" t="s">
        <v>55</v>
      </c>
      <c r="J20">
        <f t="shared" si="0"/>
        <v>1</v>
      </c>
      <c r="K20" t="str">
        <f t="shared" si="1"/>
        <v>Out</v>
      </c>
      <c r="L20" t="s">
        <v>142</v>
      </c>
      <c r="M20" t="s">
        <v>44</v>
      </c>
      <c r="N20" t="s">
        <v>306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</row>
    <row r="21" spans="1:19" x14ac:dyDescent="0.3">
      <c r="A21" t="s">
        <v>307</v>
      </c>
      <c r="B21" t="s">
        <v>308</v>
      </c>
      <c r="C21" t="s">
        <v>308</v>
      </c>
      <c r="D21">
        <v>2010</v>
      </c>
      <c r="E21" t="s">
        <v>55</v>
      </c>
      <c r="F21" t="s">
        <v>55</v>
      </c>
      <c r="G21" t="s">
        <v>55</v>
      </c>
      <c r="H21" t="s">
        <v>32</v>
      </c>
      <c r="I21" t="s">
        <v>244</v>
      </c>
      <c r="J21">
        <f t="shared" si="0"/>
        <v>0</v>
      </c>
      <c r="K21" t="str">
        <f t="shared" si="1"/>
        <v>Not Out</v>
      </c>
      <c r="L21" t="s">
        <v>157</v>
      </c>
      <c r="M21" t="s">
        <v>32</v>
      </c>
      <c r="N21" t="s">
        <v>157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</row>
    <row r="22" spans="1:19" x14ac:dyDescent="0.3">
      <c r="A22" t="s">
        <v>218</v>
      </c>
      <c r="B22" t="s">
        <v>219</v>
      </c>
      <c r="C22" t="s">
        <v>220</v>
      </c>
      <c r="D22">
        <v>2010</v>
      </c>
      <c r="E22" t="s">
        <v>77</v>
      </c>
      <c r="F22" t="s">
        <v>44</v>
      </c>
      <c r="G22" t="s">
        <v>44</v>
      </c>
      <c r="H22" t="s">
        <v>32</v>
      </c>
      <c r="I22" t="s">
        <v>244</v>
      </c>
      <c r="J22">
        <f t="shared" si="0"/>
        <v>0</v>
      </c>
      <c r="K22" t="str">
        <f t="shared" si="1"/>
        <v>Not Out</v>
      </c>
      <c r="L22" t="s">
        <v>157</v>
      </c>
      <c r="M22" t="s">
        <v>32</v>
      </c>
      <c r="N22" t="s">
        <v>157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</row>
    <row r="23" spans="1:19" x14ac:dyDescent="0.3">
      <c r="A23" t="s">
        <v>125</v>
      </c>
      <c r="B23" t="s">
        <v>126</v>
      </c>
      <c r="C23" t="s">
        <v>126</v>
      </c>
      <c r="D23">
        <v>2010</v>
      </c>
      <c r="E23" t="s">
        <v>24</v>
      </c>
      <c r="F23" t="s">
        <v>157</v>
      </c>
      <c r="G23" t="s">
        <v>157</v>
      </c>
      <c r="H23" t="s">
        <v>157</v>
      </c>
      <c r="I23" t="s">
        <v>157</v>
      </c>
      <c r="J23" t="str">
        <f t="shared" si="0"/>
        <v>-</v>
      </c>
      <c r="K23" t="str">
        <f t="shared" si="1"/>
        <v>-</v>
      </c>
      <c r="L23" t="s">
        <v>157</v>
      </c>
      <c r="M23" t="s">
        <v>157</v>
      </c>
      <c r="N23" t="s">
        <v>157</v>
      </c>
      <c r="O23" t="s">
        <v>157</v>
      </c>
      <c r="P23" t="s">
        <v>157</v>
      </c>
      <c r="Q23" t="s">
        <v>157</v>
      </c>
      <c r="R23" t="s">
        <v>157</v>
      </c>
      <c r="S23" t="s">
        <v>157</v>
      </c>
    </row>
    <row r="24" spans="1:19" x14ac:dyDescent="0.3">
      <c r="A24" t="s">
        <v>309</v>
      </c>
      <c r="B24" t="s">
        <v>310</v>
      </c>
      <c r="C24" t="s">
        <v>310</v>
      </c>
      <c r="D24">
        <v>2010</v>
      </c>
      <c r="E24" t="s">
        <v>55</v>
      </c>
      <c r="F24" t="s">
        <v>157</v>
      </c>
      <c r="G24" t="s">
        <v>157</v>
      </c>
      <c r="H24" t="s">
        <v>157</v>
      </c>
      <c r="I24" t="s">
        <v>157</v>
      </c>
      <c r="J24" t="str">
        <f t="shared" si="0"/>
        <v>-</v>
      </c>
      <c r="K24" t="str">
        <f t="shared" si="1"/>
        <v>-</v>
      </c>
      <c r="L24" t="s">
        <v>157</v>
      </c>
      <c r="M24" t="s">
        <v>157</v>
      </c>
      <c r="N24" t="s">
        <v>157</v>
      </c>
      <c r="O24" t="s">
        <v>157</v>
      </c>
      <c r="P24" t="s">
        <v>157</v>
      </c>
      <c r="Q24" t="s">
        <v>157</v>
      </c>
      <c r="R24" t="s">
        <v>157</v>
      </c>
      <c r="S24" t="s">
        <v>157</v>
      </c>
    </row>
  </sheetData>
  <pageMargins left="0.75" right="0.75" top="1" bottom="1" header="0.5" footer="0.5"/>
  <ignoredErrors>
    <ignoredError sqref="A2:S17 A19:S24 A18:B18 D18:S1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8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96</v>
      </c>
      <c r="B2" t="s">
        <v>97</v>
      </c>
      <c r="C2" t="s">
        <v>98</v>
      </c>
      <c r="D2">
        <v>2011</v>
      </c>
      <c r="E2" t="s">
        <v>23</v>
      </c>
      <c r="F2" t="s">
        <v>23</v>
      </c>
      <c r="G2" t="s">
        <v>44</v>
      </c>
      <c r="H2" t="s">
        <v>311</v>
      </c>
      <c r="I2" t="s">
        <v>246</v>
      </c>
      <c r="J2">
        <f t="shared" ref="J2:J18" si="0">IF(I2="-", "-", VALUE(SUBSTITUTE(I2,"*","")))</f>
        <v>83</v>
      </c>
      <c r="K2" t="str">
        <f t="shared" ref="K2:K18" si="1">IF(I2="-", "-", IF(ISNUMBER(FIND("*", I2)), "Not Out", "Out"))</f>
        <v>Not Out</v>
      </c>
      <c r="L2" t="s">
        <v>312</v>
      </c>
      <c r="M2" t="s">
        <v>37</v>
      </c>
      <c r="N2" t="s">
        <v>313</v>
      </c>
      <c r="O2" t="s">
        <v>202</v>
      </c>
      <c r="P2" t="s">
        <v>95</v>
      </c>
      <c r="Q2" t="s">
        <v>55</v>
      </c>
      <c r="R2" t="s">
        <v>36</v>
      </c>
      <c r="S2" t="s">
        <v>32</v>
      </c>
    </row>
    <row r="3" spans="1:19" x14ac:dyDescent="0.3">
      <c r="A3" t="s">
        <v>19</v>
      </c>
      <c r="B3" t="s">
        <v>20</v>
      </c>
      <c r="C3" t="s">
        <v>21</v>
      </c>
      <c r="D3">
        <v>2011</v>
      </c>
      <c r="E3" t="s">
        <v>22</v>
      </c>
      <c r="F3" t="s">
        <v>22</v>
      </c>
      <c r="G3" t="s">
        <v>44</v>
      </c>
      <c r="H3" t="s">
        <v>314</v>
      </c>
      <c r="I3" t="s">
        <v>315</v>
      </c>
      <c r="J3">
        <f t="shared" si="0"/>
        <v>73</v>
      </c>
      <c r="K3" t="str">
        <f t="shared" si="1"/>
        <v>Not Out</v>
      </c>
      <c r="L3" t="s">
        <v>316</v>
      </c>
      <c r="M3" t="s">
        <v>317</v>
      </c>
      <c r="N3" t="s">
        <v>318</v>
      </c>
      <c r="O3" t="s">
        <v>183</v>
      </c>
      <c r="P3" t="s">
        <v>297</v>
      </c>
      <c r="Q3" t="s">
        <v>55</v>
      </c>
      <c r="R3" t="s">
        <v>36</v>
      </c>
      <c r="S3" t="s">
        <v>32</v>
      </c>
    </row>
    <row r="4" spans="1:19" x14ac:dyDescent="0.3">
      <c r="A4" t="s">
        <v>204</v>
      </c>
      <c r="B4" t="s">
        <v>205</v>
      </c>
      <c r="C4" t="s">
        <v>206</v>
      </c>
      <c r="D4">
        <v>2011</v>
      </c>
      <c r="E4" t="s">
        <v>22</v>
      </c>
      <c r="F4" t="s">
        <v>22</v>
      </c>
      <c r="G4" t="s">
        <v>32</v>
      </c>
      <c r="H4" t="s">
        <v>165</v>
      </c>
      <c r="I4" t="s">
        <v>319</v>
      </c>
      <c r="J4">
        <f t="shared" si="0"/>
        <v>95</v>
      </c>
      <c r="K4" t="str">
        <f t="shared" si="1"/>
        <v>Out</v>
      </c>
      <c r="L4" t="s">
        <v>320</v>
      </c>
      <c r="M4" t="s">
        <v>321</v>
      </c>
      <c r="N4" t="s">
        <v>322</v>
      </c>
      <c r="O4" t="s">
        <v>323</v>
      </c>
      <c r="P4" t="s">
        <v>181</v>
      </c>
      <c r="Q4" t="s">
        <v>32</v>
      </c>
      <c r="R4" t="s">
        <v>24</v>
      </c>
      <c r="S4" t="s">
        <v>32</v>
      </c>
    </row>
    <row r="5" spans="1:19" x14ac:dyDescent="0.3">
      <c r="A5" t="s">
        <v>74</v>
      </c>
      <c r="B5" t="s">
        <v>75</v>
      </c>
      <c r="C5" t="s">
        <v>76</v>
      </c>
      <c r="D5">
        <v>2011</v>
      </c>
      <c r="E5" t="s">
        <v>22</v>
      </c>
      <c r="F5" t="s">
        <v>48</v>
      </c>
      <c r="G5" t="s">
        <v>95</v>
      </c>
      <c r="H5" t="s">
        <v>324</v>
      </c>
      <c r="I5" t="s">
        <v>325</v>
      </c>
      <c r="J5">
        <f t="shared" si="0"/>
        <v>71</v>
      </c>
      <c r="K5" t="str">
        <f t="shared" si="1"/>
        <v>Not Out</v>
      </c>
      <c r="L5" t="s">
        <v>326</v>
      </c>
      <c r="M5" t="s">
        <v>327</v>
      </c>
      <c r="N5" t="s">
        <v>328</v>
      </c>
      <c r="O5" t="s">
        <v>42</v>
      </c>
      <c r="P5" t="s">
        <v>108</v>
      </c>
      <c r="Q5" t="s">
        <v>55</v>
      </c>
      <c r="R5" t="s">
        <v>78</v>
      </c>
      <c r="S5" t="s">
        <v>32</v>
      </c>
    </row>
    <row r="6" spans="1:19" x14ac:dyDescent="0.3">
      <c r="A6" t="s">
        <v>33</v>
      </c>
      <c r="B6" t="s">
        <v>34</v>
      </c>
      <c r="C6" t="s">
        <v>35</v>
      </c>
      <c r="D6">
        <v>2011</v>
      </c>
      <c r="E6" t="s">
        <v>22</v>
      </c>
      <c r="F6" t="s">
        <v>48</v>
      </c>
      <c r="G6" t="s">
        <v>36</v>
      </c>
      <c r="H6" t="s">
        <v>329</v>
      </c>
      <c r="I6" t="s">
        <v>330</v>
      </c>
      <c r="J6">
        <f t="shared" si="0"/>
        <v>70</v>
      </c>
      <c r="K6" t="str">
        <f t="shared" si="1"/>
        <v>Not Out</v>
      </c>
      <c r="L6" t="s">
        <v>331</v>
      </c>
      <c r="M6" t="s">
        <v>332</v>
      </c>
      <c r="N6" t="s">
        <v>333</v>
      </c>
      <c r="O6" t="s">
        <v>334</v>
      </c>
      <c r="P6" t="s">
        <v>118</v>
      </c>
      <c r="Q6" t="s">
        <v>32</v>
      </c>
      <c r="R6" t="s">
        <v>44</v>
      </c>
      <c r="S6" t="s">
        <v>32</v>
      </c>
    </row>
    <row r="7" spans="1:19" x14ac:dyDescent="0.3">
      <c r="A7" t="s">
        <v>56</v>
      </c>
      <c r="B7" t="s">
        <v>57</v>
      </c>
      <c r="C7" t="s">
        <v>58</v>
      </c>
      <c r="D7">
        <v>2011</v>
      </c>
      <c r="E7" t="s">
        <v>43</v>
      </c>
      <c r="F7" t="s">
        <v>48</v>
      </c>
      <c r="G7" t="s">
        <v>143</v>
      </c>
      <c r="H7" t="s">
        <v>335</v>
      </c>
      <c r="I7" t="s">
        <v>336</v>
      </c>
      <c r="J7">
        <f t="shared" si="0"/>
        <v>30</v>
      </c>
      <c r="K7" t="str">
        <f t="shared" si="1"/>
        <v>Not Out</v>
      </c>
      <c r="L7" t="s">
        <v>337</v>
      </c>
      <c r="M7" t="s">
        <v>338</v>
      </c>
      <c r="N7" t="s">
        <v>339</v>
      </c>
      <c r="O7" t="s">
        <v>85</v>
      </c>
      <c r="P7" t="s">
        <v>85</v>
      </c>
      <c r="Q7" t="s">
        <v>55</v>
      </c>
      <c r="R7" t="s">
        <v>32</v>
      </c>
      <c r="S7" t="s">
        <v>32</v>
      </c>
    </row>
    <row r="8" spans="1:19" x14ac:dyDescent="0.3">
      <c r="A8" t="s">
        <v>139</v>
      </c>
      <c r="B8" t="s">
        <v>140</v>
      </c>
      <c r="C8" t="s">
        <v>141</v>
      </c>
      <c r="D8">
        <v>2011</v>
      </c>
      <c r="E8" t="s">
        <v>108</v>
      </c>
      <c r="F8" t="s">
        <v>78</v>
      </c>
      <c r="G8" t="s">
        <v>55</v>
      </c>
      <c r="H8" t="s">
        <v>340</v>
      </c>
      <c r="I8" t="s">
        <v>80</v>
      </c>
      <c r="J8">
        <f t="shared" si="0"/>
        <v>64</v>
      </c>
      <c r="K8" t="str">
        <f t="shared" si="1"/>
        <v>Out</v>
      </c>
      <c r="L8" t="s">
        <v>341</v>
      </c>
      <c r="M8" t="s">
        <v>342</v>
      </c>
      <c r="N8" t="s">
        <v>343</v>
      </c>
      <c r="O8" t="s">
        <v>95</v>
      </c>
      <c r="P8" t="s">
        <v>24</v>
      </c>
      <c r="Q8" t="s">
        <v>55</v>
      </c>
      <c r="R8" t="s">
        <v>55</v>
      </c>
      <c r="S8" t="s">
        <v>32</v>
      </c>
    </row>
    <row r="9" spans="1:19" x14ac:dyDescent="0.3">
      <c r="A9" t="s">
        <v>344</v>
      </c>
      <c r="B9" t="s">
        <v>345</v>
      </c>
      <c r="C9" t="s">
        <v>346</v>
      </c>
      <c r="D9">
        <v>2011</v>
      </c>
      <c r="E9" t="s">
        <v>143</v>
      </c>
      <c r="F9" t="s">
        <v>24</v>
      </c>
      <c r="G9" t="s">
        <v>44</v>
      </c>
      <c r="H9" t="s">
        <v>347</v>
      </c>
      <c r="I9" t="s">
        <v>348</v>
      </c>
      <c r="J9">
        <f t="shared" si="0"/>
        <v>46</v>
      </c>
      <c r="K9" t="str">
        <f t="shared" si="1"/>
        <v>Not Out</v>
      </c>
      <c r="L9" t="s">
        <v>349</v>
      </c>
      <c r="M9" t="s">
        <v>350</v>
      </c>
      <c r="N9" t="s">
        <v>351</v>
      </c>
      <c r="O9" t="s">
        <v>44</v>
      </c>
      <c r="P9" t="s">
        <v>36</v>
      </c>
      <c r="Q9" t="s">
        <v>32</v>
      </c>
      <c r="R9" t="s">
        <v>32</v>
      </c>
      <c r="S9" t="s">
        <v>32</v>
      </c>
    </row>
    <row r="10" spans="1:19" x14ac:dyDescent="0.3">
      <c r="A10" t="s">
        <v>352</v>
      </c>
      <c r="B10" t="s">
        <v>353</v>
      </c>
      <c r="C10" t="s">
        <v>354</v>
      </c>
      <c r="D10">
        <v>2011</v>
      </c>
      <c r="E10" t="s">
        <v>95</v>
      </c>
      <c r="F10" t="s">
        <v>44</v>
      </c>
      <c r="G10" t="s">
        <v>55</v>
      </c>
      <c r="H10" t="s">
        <v>77</v>
      </c>
      <c r="I10" t="s">
        <v>355</v>
      </c>
      <c r="J10">
        <f t="shared" si="0"/>
        <v>6</v>
      </c>
      <c r="K10" t="str">
        <f t="shared" si="1"/>
        <v>Not Out</v>
      </c>
      <c r="L10" t="s">
        <v>137</v>
      </c>
      <c r="M10" t="s">
        <v>95</v>
      </c>
      <c r="N10" t="s">
        <v>356</v>
      </c>
      <c r="O10" t="s">
        <v>55</v>
      </c>
      <c r="P10" t="s">
        <v>55</v>
      </c>
      <c r="Q10" t="s">
        <v>32</v>
      </c>
      <c r="R10" t="s">
        <v>32</v>
      </c>
      <c r="S10" t="s">
        <v>32</v>
      </c>
    </row>
    <row r="11" spans="1:19" x14ac:dyDescent="0.3">
      <c r="A11" t="s">
        <v>357</v>
      </c>
      <c r="B11" t="s">
        <v>358</v>
      </c>
      <c r="C11" t="s">
        <v>359</v>
      </c>
      <c r="D11">
        <v>2011</v>
      </c>
      <c r="E11" t="s">
        <v>44</v>
      </c>
      <c r="F11" t="s">
        <v>55</v>
      </c>
      <c r="G11" t="s">
        <v>55</v>
      </c>
      <c r="H11" t="s">
        <v>78</v>
      </c>
      <c r="I11" t="s">
        <v>360</v>
      </c>
      <c r="J11">
        <f t="shared" si="0"/>
        <v>5</v>
      </c>
      <c r="K11" t="str">
        <f t="shared" si="1"/>
        <v>Not Out</v>
      </c>
      <c r="L11" t="s">
        <v>157</v>
      </c>
      <c r="M11" t="s">
        <v>44</v>
      </c>
      <c r="N11" t="s">
        <v>361</v>
      </c>
      <c r="O11" t="s">
        <v>55</v>
      </c>
      <c r="P11" t="s">
        <v>32</v>
      </c>
      <c r="Q11" t="s">
        <v>32</v>
      </c>
      <c r="R11" t="s">
        <v>32</v>
      </c>
      <c r="S11" t="s">
        <v>32</v>
      </c>
    </row>
    <row r="12" spans="1:19" x14ac:dyDescent="0.3">
      <c r="A12" t="s">
        <v>227</v>
      </c>
      <c r="B12" t="s">
        <v>228</v>
      </c>
      <c r="C12" t="s">
        <v>229</v>
      </c>
      <c r="D12">
        <v>2011</v>
      </c>
      <c r="E12" t="s">
        <v>22</v>
      </c>
      <c r="F12" t="s">
        <v>44</v>
      </c>
      <c r="G12" t="s">
        <v>32</v>
      </c>
      <c r="H12" t="s">
        <v>44</v>
      </c>
      <c r="I12" t="s">
        <v>44</v>
      </c>
      <c r="J12">
        <f t="shared" si="0"/>
        <v>2</v>
      </c>
      <c r="K12" t="str">
        <f t="shared" si="1"/>
        <v>Out</v>
      </c>
      <c r="L12" t="s">
        <v>142</v>
      </c>
      <c r="M12" t="s">
        <v>95</v>
      </c>
      <c r="N12" t="s">
        <v>305</v>
      </c>
      <c r="O12" t="s">
        <v>32</v>
      </c>
      <c r="P12" t="s">
        <v>32</v>
      </c>
      <c r="Q12" t="s">
        <v>55</v>
      </c>
      <c r="R12" t="s">
        <v>32</v>
      </c>
      <c r="S12" t="s">
        <v>32</v>
      </c>
    </row>
    <row r="13" spans="1:19" x14ac:dyDescent="0.3">
      <c r="A13" t="s">
        <v>362</v>
      </c>
      <c r="B13" t="s">
        <v>363</v>
      </c>
      <c r="C13" t="s">
        <v>364</v>
      </c>
      <c r="D13">
        <v>2011</v>
      </c>
      <c r="E13" t="s">
        <v>85</v>
      </c>
      <c r="F13" t="s">
        <v>55</v>
      </c>
      <c r="G13" t="s">
        <v>32</v>
      </c>
      <c r="H13" t="s">
        <v>44</v>
      </c>
      <c r="I13" t="s">
        <v>44</v>
      </c>
      <c r="J13">
        <f t="shared" si="0"/>
        <v>2</v>
      </c>
      <c r="K13" t="str">
        <f t="shared" si="1"/>
        <v>Out</v>
      </c>
      <c r="L13" t="s">
        <v>240</v>
      </c>
      <c r="M13" t="s">
        <v>36</v>
      </c>
      <c r="N13" t="s">
        <v>306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294</v>
      </c>
      <c r="B14" t="s">
        <v>295</v>
      </c>
      <c r="C14" t="s">
        <v>296</v>
      </c>
      <c r="D14">
        <v>2011</v>
      </c>
      <c r="E14" t="s">
        <v>48</v>
      </c>
      <c r="F14" t="s">
        <v>55</v>
      </c>
      <c r="G14" t="s">
        <v>55</v>
      </c>
      <c r="H14" t="s">
        <v>32</v>
      </c>
      <c r="I14" t="s">
        <v>244</v>
      </c>
      <c r="J14">
        <f t="shared" si="0"/>
        <v>0</v>
      </c>
      <c r="K14" t="str">
        <f t="shared" si="1"/>
        <v>Not Out</v>
      </c>
      <c r="L14" t="s">
        <v>157</v>
      </c>
      <c r="M14" t="s">
        <v>55</v>
      </c>
      <c r="N14" t="s">
        <v>148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218</v>
      </c>
      <c r="B15" t="s">
        <v>219</v>
      </c>
      <c r="C15" t="s">
        <v>220</v>
      </c>
      <c r="D15">
        <v>2011</v>
      </c>
      <c r="E15" t="s">
        <v>43</v>
      </c>
      <c r="F15" t="s">
        <v>55</v>
      </c>
      <c r="G15" t="s">
        <v>55</v>
      </c>
      <c r="H15" t="s">
        <v>32</v>
      </c>
      <c r="I15" t="s">
        <v>244</v>
      </c>
      <c r="J15">
        <f t="shared" si="0"/>
        <v>0</v>
      </c>
      <c r="K15" t="str">
        <f t="shared" si="1"/>
        <v>Not Out</v>
      </c>
      <c r="L15" t="s">
        <v>157</v>
      </c>
      <c r="M15" t="s">
        <v>32</v>
      </c>
      <c r="N15" t="s">
        <v>157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125</v>
      </c>
      <c r="B16" t="s">
        <v>126</v>
      </c>
      <c r="C16" t="s">
        <v>126</v>
      </c>
      <c r="D16">
        <v>2011</v>
      </c>
      <c r="E16" t="s">
        <v>55</v>
      </c>
      <c r="F16" t="s">
        <v>55</v>
      </c>
      <c r="G16" t="s">
        <v>32</v>
      </c>
      <c r="H16" t="s">
        <v>32</v>
      </c>
      <c r="I16" t="s">
        <v>32</v>
      </c>
      <c r="J16">
        <f t="shared" si="0"/>
        <v>0</v>
      </c>
      <c r="K16" t="str">
        <f t="shared" si="1"/>
        <v>Out</v>
      </c>
      <c r="L16" t="s">
        <v>148</v>
      </c>
      <c r="M16" t="s">
        <v>55</v>
      </c>
      <c r="N16" t="s">
        <v>148</v>
      </c>
      <c r="O16" t="s">
        <v>32</v>
      </c>
      <c r="P16" t="s">
        <v>32</v>
      </c>
      <c r="Q16" t="s">
        <v>55</v>
      </c>
      <c r="R16" t="s">
        <v>32</v>
      </c>
      <c r="S16" t="s">
        <v>32</v>
      </c>
    </row>
    <row r="17" spans="1:19" x14ac:dyDescent="0.3">
      <c r="A17" t="s">
        <v>365</v>
      </c>
      <c r="B17" t="s">
        <v>366</v>
      </c>
      <c r="C17" t="s">
        <v>367</v>
      </c>
      <c r="D17">
        <v>2011</v>
      </c>
      <c r="E17" t="s">
        <v>55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368</v>
      </c>
      <c r="B18" t="s">
        <v>369</v>
      </c>
      <c r="C18" t="s">
        <v>370</v>
      </c>
      <c r="D18">
        <v>2011</v>
      </c>
      <c r="E18" t="s">
        <v>78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5.69921875" bestFit="1" customWidth="1"/>
    <col min="3" max="3" width="37.89843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19</v>
      </c>
      <c r="B2" t="s">
        <v>20</v>
      </c>
      <c r="C2" t="s">
        <v>21</v>
      </c>
      <c r="D2">
        <v>2012</v>
      </c>
      <c r="E2" t="s">
        <v>187</v>
      </c>
      <c r="F2" t="s">
        <v>31</v>
      </c>
      <c r="G2" t="s">
        <v>55</v>
      </c>
      <c r="H2" t="s">
        <v>371</v>
      </c>
      <c r="I2" t="s">
        <v>372</v>
      </c>
      <c r="J2">
        <f t="shared" ref="J2:J18" si="0">IF(I2="-", "-", VALUE(SUBSTITUTE(I2,"*","")))</f>
        <v>73</v>
      </c>
      <c r="K2" t="str">
        <f t="shared" ref="K2:K18" si="1">IF(I2="-", "-", IF(ISNUMBER(FIND("*", I2)), "Not Out", "Out"))</f>
        <v>Out</v>
      </c>
      <c r="L2" t="s">
        <v>373</v>
      </c>
      <c r="M2" t="s">
        <v>317</v>
      </c>
      <c r="N2" t="s">
        <v>374</v>
      </c>
      <c r="O2" t="s">
        <v>183</v>
      </c>
      <c r="P2" t="s">
        <v>187</v>
      </c>
      <c r="Q2" t="s">
        <v>44</v>
      </c>
      <c r="R2" t="s">
        <v>55</v>
      </c>
      <c r="S2" t="s">
        <v>32</v>
      </c>
    </row>
    <row r="3" spans="1:19" x14ac:dyDescent="0.3">
      <c r="A3" t="s">
        <v>375</v>
      </c>
      <c r="B3" t="s">
        <v>376</v>
      </c>
      <c r="C3" t="s">
        <v>377</v>
      </c>
      <c r="D3">
        <v>2012</v>
      </c>
      <c r="E3" t="s">
        <v>48</v>
      </c>
      <c r="F3" t="s">
        <v>104</v>
      </c>
      <c r="G3" t="s">
        <v>32</v>
      </c>
      <c r="H3" t="s">
        <v>378</v>
      </c>
      <c r="I3" t="s">
        <v>372</v>
      </c>
      <c r="J3">
        <f t="shared" si="0"/>
        <v>73</v>
      </c>
      <c r="K3" t="str">
        <f t="shared" si="1"/>
        <v>Out</v>
      </c>
      <c r="L3" t="s">
        <v>379</v>
      </c>
      <c r="M3" t="s">
        <v>380</v>
      </c>
      <c r="N3" t="s">
        <v>381</v>
      </c>
      <c r="O3" t="s">
        <v>382</v>
      </c>
      <c r="P3" t="s">
        <v>297</v>
      </c>
      <c r="Q3" t="s">
        <v>32</v>
      </c>
      <c r="R3" t="s">
        <v>24</v>
      </c>
      <c r="S3" t="s">
        <v>32</v>
      </c>
    </row>
    <row r="4" spans="1:19" x14ac:dyDescent="0.3">
      <c r="A4" t="s">
        <v>352</v>
      </c>
      <c r="B4" t="s">
        <v>353</v>
      </c>
      <c r="C4" t="s">
        <v>354</v>
      </c>
      <c r="D4">
        <v>2012</v>
      </c>
      <c r="E4" t="s">
        <v>187</v>
      </c>
      <c r="F4" t="s">
        <v>22</v>
      </c>
      <c r="G4" t="s">
        <v>85</v>
      </c>
      <c r="H4" t="s">
        <v>383</v>
      </c>
      <c r="I4" t="s">
        <v>384</v>
      </c>
      <c r="J4">
        <f t="shared" si="0"/>
        <v>48</v>
      </c>
      <c r="K4" t="str">
        <f t="shared" si="1"/>
        <v>Out</v>
      </c>
      <c r="L4" t="s">
        <v>385</v>
      </c>
      <c r="M4" t="s">
        <v>386</v>
      </c>
      <c r="N4" t="s">
        <v>387</v>
      </c>
      <c r="O4" t="s">
        <v>181</v>
      </c>
      <c r="P4" t="s">
        <v>181</v>
      </c>
      <c r="Q4" t="s">
        <v>32</v>
      </c>
      <c r="R4" t="s">
        <v>32</v>
      </c>
      <c r="S4" t="s">
        <v>32</v>
      </c>
    </row>
    <row r="5" spans="1:19" x14ac:dyDescent="0.3">
      <c r="A5" t="s">
        <v>33</v>
      </c>
      <c r="B5" t="s">
        <v>34</v>
      </c>
      <c r="C5" t="s">
        <v>35</v>
      </c>
      <c r="D5">
        <v>2012</v>
      </c>
      <c r="E5" t="s">
        <v>187</v>
      </c>
      <c r="F5" t="s">
        <v>297</v>
      </c>
      <c r="G5" t="s">
        <v>78</v>
      </c>
      <c r="H5" t="s">
        <v>388</v>
      </c>
      <c r="I5" t="s">
        <v>389</v>
      </c>
      <c r="J5">
        <f t="shared" si="0"/>
        <v>51</v>
      </c>
      <c r="K5" t="str">
        <f t="shared" si="1"/>
        <v>Not Out</v>
      </c>
      <c r="L5" t="s">
        <v>390</v>
      </c>
      <c r="M5" t="s">
        <v>391</v>
      </c>
      <c r="N5" t="s">
        <v>392</v>
      </c>
      <c r="O5" t="s">
        <v>255</v>
      </c>
      <c r="P5" t="s">
        <v>108</v>
      </c>
      <c r="Q5" t="s">
        <v>32</v>
      </c>
      <c r="R5" t="s">
        <v>55</v>
      </c>
      <c r="S5" t="s">
        <v>32</v>
      </c>
    </row>
    <row r="6" spans="1:19" x14ac:dyDescent="0.3">
      <c r="A6" t="s">
        <v>204</v>
      </c>
      <c r="B6" t="s">
        <v>205</v>
      </c>
      <c r="C6" t="s">
        <v>206</v>
      </c>
      <c r="D6">
        <v>2012</v>
      </c>
      <c r="E6" t="s">
        <v>23</v>
      </c>
      <c r="F6" t="s">
        <v>23</v>
      </c>
      <c r="G6" t="s">
        <v>55</v>
      </c>
      <c r="H6" t="s">
        <v>393</v>
      </c>
      <c r="I6" t="s">
        <v>394</v>
      </c>
      <c r="J6">
        <f t="shared" si="0"/>
        <v>113</v>
      </c>
      <c r="K6" t="str">
        <f t="shared" si="1"/>
        <v>Out</v>
      </c>
      <c r="L6" t="s">
        <v>395</v>
      </c>
      <c r="M6" t="s">
        <v>396</v>
      </c>
      <c r="N6" t="s">
        <v>397</v>
      </c>
      <c r="O6" t="s">
        <v>216</v>
      </c>
      <c r="P6" t="s">
        <v>59</v>
      </c>
      <c r="Q6" t="s">
        <v>44</v>
      </c>
      <c r="R6" t="s">
        <v>32</v>
      </c>
      <c r="S6" t="s">
        <v>55</v>
      </c>
    </row>
    <row r="7" spans="1:19" x14ac:dyDescent="0.3">
      <c r="A7" t="s">
        <v>96</v>
      </c>
      <c r="B7" t="s">
        <v>97</v>
      </c>
      <c r="C7" t="s">
        <v>98</v>
      </c>
      <c r="D7">
        <v>2012</v>
      </c>
      <c r="E7" t="s">
        <v>85</v>
      </c>
      <c r="F7" t="s">
        <v>85</v>
      </c>
      <c r="G7" t="s">
        <v>32</v>
      </c>
      <c r="H7" t="s">
        <v>174</v>
      </c>
      <c r="I7" t="s">
        <v>398</v>
      </c>
      <c r="J7">
        <f t="shared" si="0"/>
        <v>56</v>
      </c>
      <c r="K7" t="str">
        <f t="shared" si="1"/>
        <v>Out</v>
      </c>
      <c r="L7" t="s">
        <v>399</v>
      </c>
      <c r="M7" t="s">
        <v>400</v>
      </c>
      <c r="N7" t="s">
        <v>401</v>
      </c>
      <c r="O7" t="s">
        <v>402</v>
      </c>
      <c r="P7" t="s">
        <v>85</v>
      </c>
      <c r="Q7" t="s">
        <v>32</v>
      </c>
      <c r="R7" t="s">
        <v>44</v>
      </c>
      <c r="S7" t="s">
        <v>32</v>
      </c>
    </row>
    <row r="8" spans="1:19" x14ac:dyDescent="0.3">
      <c r="A8" t="s">
        <v>74</v>
      </c>
      <c r="B8" t="s">
        <v>75</v>
      </c>
      <c r="C8" t="s">
        <v>76</v>
      </c>
      <c r="D8">
        <v>2012</v>
      </c>
      <c r="E8" t="s">
        <v>43</v>
      </c>
      <c r="F8" t="s">
        <v>108</v>
      </c>
      <c r="G8" t="s">
        <v>44</v>
      </c>
      <c r="H8" t="s">
        <v>68</v>
      </c>
      <c r="I8" t="s">
        <v>274</v>
      </c>
      <c r="J8">
        <f t="shared" si="0"/>
        <v>57</v>
      </c>
      <c r="K8" t="str">
        <f t="shared" si="1"/>
        <v>Out</v>
      </c>
      <c r="L8" t="s">
        <v>403</v>
      </c>
      <c r="M8" t="s">
        <v>404</v>
      </c>
      <c r="N8" t="s">
        <v>405</v>
      </c>
      <c r="O8" t="s">
        <v>118</v>
      </c>
      <c r="P8" t="s">
        <v>44</v>
      </c>
      <c r="Q8" t="s">
        <v>32</v>
      </c>
      <c r="R8" t="s">
        <v>55</v>
      </c>
      <c r="S8" t="s">
        <v>32</v>
      </c>
    </row>
    <row r="9" spans="1:19" x14ac:dyDescent="0.3">
      <c r="A9" t="s">
        <v>406</v>
      </c>
      <c r="B9" t="s">
        <v>407</v>
      </c>
      <c r="C9" t="s">
        <v>408</v>
      </c>
      <c r="D9">
        <v>2012</v>
      </c>
      <c r="E9" t="s">
        <v>187</v>
      </c>
      <c r="F9" t="s">
        <v>23</v>
      </c>
      <c r="G9" t="s">
        <v>44</v>
      </c>
      <c r="H9" t="s">
        <v>409</v>
      </c>
      <c r="I9" t="s">
        <v>384</v>
      </c>
      <c r="J9">
        <f t="shared" si="0"/>
        <v>48</v>
      </c>
      <c r="K9" t="str">
        <f t="shared" si="1"/>
        <v>Out</v>
      </c>
      <c r="L9" t="s">
        <v>410</v>
      </c>
      <c r="M9" t="s">
        <v>411</v>
      </c>
      <c r="N9" t="s">
        <v>412</v>
      </c>
      <c r="O9" t="s">
        <v>48</v>
      </c>
      <c r="P9" t="s">
        <v>108</v>
      </c>
      <c r="Q9" t="s">
        <v>32</v>
      </c>
      <c r="R9" t="s">
        <v>32</v>
      </c>
      <c r="S9" t="s">
        <v>32</v>
      </c>
    </row>
    <row r="10" spans="1:19" x14ac:dyDescent="0.3">
      <c r="A10" t="s">
        <v>56</v>
      </c>
      <c r="B10" t="s">
        <v>57</v>
      </c>
      <c r="C10" t="s">
        <v>58</v>
      </c>
      <c r="D10">
        <v>2012</v>
      </c>
      <c r="E10" t="s">
        <v>22</v>
      </c>
      <c r="F10" t="s">
        <v>104</v>
      </c>
      <c r="G10" t="s">
        <v>78</v>
      </c>
      <c r="H10" t="s">
        <v>413</v>
      </c>
      <c r="I10" t="s">
        <v>402</v>
      </c>
      <c r="J10">
        <f t="shared" si="0"/>
        <v>28</v>
      </c>
      <c r="K10" t="str">
        <f t="shared" si="1"/>
        <v>Out</v>
      </c>
      <c r="L10" t="s">
        <v>414</v>
      </c>
      <c r="M10" t="s">
        <v>347</v>
      </c>
      <c r="N10" t="s">
        <v>415</v>
      </c>
      <c r="O10" t="s">
        <v>78</v>
      </c>
      <c r="P10" t="s">
        <v>95</v>
      </c>
      <c r="Q10" t="s">
        <v>55</v>
      </c>
      <c r="R10" t="s">
        <v>32</v>
      </c>
      <c r="S10" t="s">
        <v>32</v>
      </c>
    </row>
    <row r="11" spans="1:19" x14ac:dyDescent="0.3">
      <c r="A11" t="s">
        <v>139</v>
      </c>
      <c r="B11" t="s">
        <v>140</v>
      </c>
      <c r="C11" t="s">
        <v>141</v>
      </c>
      <c r="D11">
        <v>2012</v>
      </c>
      <c r="E11" t="s">
        <v>36</v>
      </c>
      <c r="F11" t="s">
        <v>44</v>
      </c>
      <c r="G11" t="s">
        <v>44</v>
      </c>
      <c r="H11" t="s">
        <v>187</v>
      </c>
      <c r="I11" t="s">
        <v>416</v>
      </c>
      <c r="J11">
        <f t="shared" si="0"/>
        <v>18</v>
      </c>
      <c r="K11" t="str">
        <f t="shared" si="1"/>
        <v>Not Out</v>
      </c>
      <c r="L11" t="s">
        <v>157</v>
      </c>
      <c r="M11" t="s">
        <v>143</v>
      </c>
      <c r="N11" t="s">
        <v>417</v>
      </c>
      <c r="O11" t="s">
        <v>55</v>
      </c>
      <c r="P11" t="s">
        <v>44</v>
      </c>
      <c r="Q11" t="s">
        <v>32</v>
      </c>
      <c r="R11" t="s">
        <v>32</v>
      </c>
      <c r="S11" t="s">
        <v>32</v>
      </c>
    </row>
    <row r="12" spans="1:19" x14ac:dyDescent="0.3">
      <c r="A12" t="s">
        <v>227</v>
      </c>
      <c r="B12" t="s">
        <v>228</v>
      </c>
      <c r="C12" t="s">
        <v>229</v>
      </c>
      <c r="D12">
        <v>2012</v>
      </c>
      <c r="E12" t="s">
        <v>187</v>
      </c>
      <c r="F12" t="s">
        <v>78</v>
      </c>
      <c r="G12" t="s">
        <v>44</v>
      </c>
      <c r="H12" t="s">
        <v>31</v>
      </c>
      <c r="I12" t="s">
        <v>85</v>
      </c>
      <c r="J12">
        <f t="shared" si="0"/>
        <v>8</v>
      </c>
      <c r="K12" t="str">
        <f t="shared" si="1"/>
        <v>Out</v>
      </c>
      <c r="L12" t="s">
        <v>418</v>
      </c>
      <c r="M12" t="s">
        <v>43</v>
      </c>
      <c r="N12" t="s">
        <v>419</v>
      </c>
      <c r="O12" t="s">
        <v>44</v>
      </c>
      <c r="P12" t="s">
        <v>32</v>
      </c>
      <c r="Q12" t="s">
        <v>55</v>
      </c>
      <c r="R12" t="s">
        <v>32</v>
      </c>
      <c r="S12" t="s">
        <v>32</v>
      </c>
    </row>
    <row r="13" spans="1:19" x14ac:dyDescent="0.3">
      <c r="A13" t="s">
        <v>218</v>
      </c>
      <c r="B13" t="s">
        <v>219</v>
      </c>
      <c r="C13" t="s">
        <v>220</v>
      </c>
      <c r="D13">
        <v>2012</v>
      </c>
      <c r="E13" t="s">
        <v>43</v>
      </c>
      <c r="F13" t="s">
        <v>44</v>
      </c>
      <c r="G13" t="s">
        <v>44</v>
      </c>
      <c r="H13" t="s">
        <v>143</v>
      </c>
      <c r="I13" t="s">
        <v>355</v>
      </c>
      <c r="J13">
        <f t="shared" si="0"/>
        <v>6</v>
      </c>
      <c r="K13" t="str">
        <f t="shared" si="1"/>
        <v>Not Out</v>
      </c>
      <c r="L13" t="s">
        <v>157</v>
      </c>
      <c r="M13" t="s">
        <v>104</v>
      </c>
      <c r="N13" t="s">
        <v>420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344</v>
      </c>
      <c r="B14" t="s">
        <v>345</v>
      </c>
      <c r="C14" t="s">
        <v>346</v>
      </c>
      <c r="D14">
        <v>2012</v>
      </c>
      <c r="E14" t="s">
        <v>36</v>
      </c>
      <c r="F14" t="s">
        <v>55</v>
      </c>
      <c r="G14" t="s">
        <v>32</v>
      </c>
      <c r="H14" t="s">
        <v>95</v>
      </c>
      <c r="I14" t="s">
        <v>95</v>
      </c>
      <c r="J14">
        <f t="shared" si="0"/>
        <v>6</v>
      </c>
      <c r="K14" t="str">
        <f t="shared" si="1"/>
        <v>Out</v>
      </c>
      <c r="L14" t="s">
        <v>418</v>
      </c>
      <c r="M14" t="s">
        <v>23</v>
      </c>
      <c r="N14" t="s">
        <v>421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365</v>
      </c>
      <c r="B15" t="s">
        <v>366</v>
      </c>
      <c r="C15" t="s">
        <v>367</v>
      </c>
      <c r="D15">
        <v>2012</v>
      </c>
      <c r="E15" t="s">
        <v>78</v>
      </c>
      <c r="F15" t="s">
        <v>55</v>
      </c>
      <c r="G15" t="s">
        <v>55</v>
      </c>
      <c r="H15" t="s">
        <v>78</v>
      </c>
      <c r="I15" t="s">
        <v>360</v>
      </c>
      <c r="J15">
        <f t="shared" si="0"/>
        <v>5</v>
      </c>
      <c r="K15" t="str">
        <f t="shared" si="1"/>
        <v>Not Out</v>
      </c>
      <c r="L15" t="s">
        <v>157</v>
      </c>
      <c r="M15" t="s">
        <v>24</v>
      </c>
      <c r="N15" t="s">
        <v>281</v>
      </c>
      <c r="O15" t="s">
        <v>55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294</v>
      </c>
      <c r="B16" t="s">
        <v>295</v>
      </c>
      <c r="C16" t="s">
        <v>296</v>
      </c>
      <c r="D16">
        <v>2012</v>
      </c>
      <c r="E16" t="s">
        <v>95</v>
      </c>
      <c r="F16" t="s">
        <v>55</v>
      </c>
      <c r="G16" t="s">
        <v>32</v>
      </c>
      <c r="H16" t="s">
        <v>24</v>
      </c>
      <c r="I16" t="s">
        <v>24</v>
      </c>
      <c r="J16">
        <f t="shared" si="0"/>
        <v>3</v>
      </c>
      <c r="K16" t="str">
        <f t="shared" si="1"/>
        <v>Out</v>
      </c>
      <c r="L16" t="s">
        <v>422</v>
      </c>
      <c r="M16" t="s">
        <v>78</v>
      </c>
      <c r="N16" t="s">
        <v>304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423</v>
      </c>
      <c r="B17" t="s">
        <v>424</v>
      </c>
      <c r="C17" t="s">
        <v>425</v>
      </c>
      <c r="D17">
        <v>2012</v>
      </c>
      <c r="E17" t="s">
        <v>108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426</v>
      </c>
      <c r="B18" t="s">
        <v>427</v>
      </c>
      <c r="C18" t="s">
        <v>428</v>
      </c>
      <c r="D18">
        <v>2012</v>
      </c>
      <c r="E18" t="s">
        <v>78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8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1.0976562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96</v>
      </c>
      <c r="B2" t="s">
        <v>97</v>
      </c>
      <c r="C2" t="s">
        <v>98</v>
      </c>
      <c r="D2">
        <v>2013</v>
      </c>
      <c r="E2" t="s">
        <v>297</v>
      </c>
      <c r="F2" t="s">
        <v>297</v>
      </c>
      <c r="G2" t="s">
        <v>24</v>
      </c>
      <c r="H2" t="s">
        <v>429</v>
      </c>
      <c r="I2" t="s">
        <v>319</v>
      </c>
      <c r="J2">
        <f t="shared" ref="J2:J18" si="0">IF(I2="-", "-", VALUE(SUBSTITUTE(I2,"*","")))</f>
        <v>95</v>
      </c>
      <c r="K2" t="str">
        <f t="shared" ref="K2:K18" si="1">IF(I2="-", "-", IF(ISNUMBER(FIND("*", I2)), "Not Out", "Out"))</f>
        <v>Out</v>
      </c>
      <c r="L2" t="s">
        <v>430</v>
      </c>
      <c r="M2" t="s">
        <v>431</v>
      </c>
      <c r="N2" t="s">
        <v>432</v>
      </c>
      <c r="O2" t="s">
        <v>90</v>
      </c>
      <c r="P2" t="s">
        <v>297</v>
      </c>
      <c r="Q2" t="s">
        <v>32</v>
      </c>
      <c r="R2" t="s">
        <v>95</v>
      </c>
      <c r="S2" t="s">
        <v>32</v>
      </c>
    </row>
    <row r="3" spans="1:19" x14ac:dyDescent="0.3">
      <c r="A3" t="s">
        <v>19</v>
      </c>
      <c r="B3" t="s">
        <v>20</v>
      </c>
      <c r="C3" t="s">
        <v>21</v>
      </c>
      <c r="D3">
        <v>2013</v>
      </c>
      <c r="E3" t="s">
        <v>31</v>
      </c>
      <c r="F3" t="s">
        <v>297</v>
      </c>
      <c r="G3" t="s">
        <v>36</v>
      </c>
      <c r="H3" t="s">
        <v>433</v>
      </c>
      <c r="I3" t="s">
        <v>434</v>
      </c>
      <c r="J3">
        <f t="shared" si="0"/>
        <v>100</v>
      </c>
      <c r="K3" t="str">
        <f t="shared" si="1"/>
        <v>Not Out</v>
      </c>
      <c r="L3" t="s">
        <v>435</v>
      </c>
      <c r="M3" t="s">
        <v>436</v>
      </c>
      <c r="N3" t="s">
        <v>437</v>
      </c>
      <c r="O3" t="s">
        <v>438</v>
      </c>
      <c r="P3" t="s">
        <v>31</v>
      </c>
      <c r="Q3" t="s">
        <v>24</v>
      </c>
      <c r="R3" t="s">
        <v>36</v>
      </c>
      <c r="S3" t="s">
        <v>55</v>
      </c>
    </row>
    <row r="4" spans="1:19" x14ac:dyDescent="0.3">
      <c r="A4" t="s">
        <v>33</v>
      </c>
      <c r="B4" t="s">
        <v>34</v>
      </c>
      <c r="C4" t="s">
        <v>35</v>
      </c>
      <c r="D4">
        <v>2013</v>
      </c>
      <c r="E4" t="s">
        <v>31</v>
      </c>
      <c r="F4" t="s">
        <v>22</v>
      </c>
      <c r="G4" t="s">
        <v>78</v>
      </c>
      <c r="H4" t="s">
        <v>439</v>
      </c>
      <c r="I4" t="s">
        <v>440</v>
      </c>
      <c r="J4">
        <f t="shared" si="0"/>
        <v>67</v>
      </c>
      <c r="K4" t="str">
        <f t="shared" si="1"/>
        <v>Not Out</v>
      </c>
      <c r="L4" t="s">
        <v>441</v>
      </c>
      <c r="M4" t="s">
        <v>442</v>
      </c>
      <c r="N4" t="s">
        <v>443</v>
      </c>
      <c r="O4" t="s">
        <v>444</v>
      </c>
      <c r="P4" t="s">
        <v>334</v>
      </c>
      <c r="Q4" t="s">
        <v>32</v>
      </c>
      <c r="R4" t="s">
        <v>36</v>
      </c>
      <c r="S4" t="s">
        <v>32</v>
      </c>
    </row>
    <row r="5" spans="1:19" x14ac:dyDescent="0.3">
      <c r="A5" t="s">
        <v>204</v>
      </c>
      <c r="B5" t="s">
        <v>205</v>
      </c>
      <c r="C5" t="s">
        <v>206</v>
      </c>
      <c r="D5">
        <v>2013</v>
      </c>
      <c r="E5" t="s">
        <v>43</v>
      </c>
      <c r="F5" t="s">
        <v>43</v>
      </c>
      <c r="G5" t="s">
        <v>55</v>
      </c>
      <c r="H5" t="s">
        <v>445</v>
      </c>
      <c r="I5" t="s">
        <v>446</v>
      </c>
      <c r="J5">
        <f t="shared" si="0"/>
        <v>55</v>
      </c>
      <c r="K5" t="str">
        <f t="shared" si="1"/>
        <v>Out</v>
      </c>
      <c r="L5" t="s">
        <v>447</v>
      </c>
      <c r="M5" t="s">
        <v>448</v>
      </c>
      <c r="N5" t="s">
        <v>449</v>
      </c>
      <c r="O5" t="s">
        <v>73</v>
      </c>
      <c r="P5" t="s">
        <v>85</v>
      </c>
      <c r="Q5" t="s">
        <v>32</v>
      </c>
      <c r="R5" t="s">
        <v>44</v>
      </c>
      <c r="S5" t="s">
        <v>32</v>
      </c>
    </row>
    <row r="6" spans="1:19" x14ac:dyDescent="0.3">
      <c r="A6" t="s">
        <v>406</v>
      </c>
      <c r="B6" t="s">
        <v>407</v>
      </c>
      <c r="C6" t="s">
        <v>408</v>
      </c>
      <c r="D6">
        <v>2013</v>
      </c>
      <c r="E6" t="s">
        <v>31</v>
      </c>
      <c r="F6" t="s">
        <v>23</v>
      </c>
      <c r="G6" t="s">
        <v>95</v>
      </c>
      <c r="H6" t="s">
        <v>450</v>
      </c>
      <c r="I6" t="s">
        <v>451</v>
      </c>
      <c r="J6">
        <f t="shared" si="0"/>
        <v>38</v>
      </c>
      <c r="K6" t="str">
        <f t="shared" si="1"/>
        <v>Not Out</v>
      </c>
      <c r="L6" t="s">
        <v>452</v>
      </c>
      <c r="M6" t="s">
        <v>453</v>
      </c>
      <c r="N6" t="s">
        <v>454</v>
      </c>
      <c r="O6" t="s">
        <v>297</v>
      </c>
      <c r="P6" t="s">
        <v>95</v>
      </c>
      <c r="Q6" t="s">
        <v>44</v>
      </c>
      <c r="R6" t="s">
        <v>32</v>
      </c>
      <c r="S6" t="s">
        <v>32</v>
      </c>
    </row>
    <row r="7" spans="1:19" x14ac:dyDescent="0.3">
      <c r="A7" t="s">
        <v>74</v>
      </c>
      <c r="B7" t="s">
        <v>75</v>
      </c>
      <c r="C7" t="s">
        <v>76</v>
      </c>
      <c r="D7">
        <v>2013</v>
      </c>
      <c r="E7" t="s">
        <v>31</v>
      </c>
      <c r="F7" t="s">
        <v>85</v>
      </c>
      <c r="G7" t="s">
        <v>55</v>
      </c>
      <c r="H7" t="s">
        <v>455</v>
      </c>
      <c r="I7" t="s">
        <v>323</v>
      </c>
      <c r="J7">
        <f t="shared" si="0"/>
        <v>34</v>
      </c>
      <c r="K7" t="str">
        <f t="shared" si="1"/>
        <v>Out</v>
      </c>
      <c r="L7" t="s">
        <v>456</v>
      </c>
      <c r="M7" t="s">
        <v>457</v>
      </c>
      <c r="N7" t="s">
        <v>458</v>
      </c>
      <c r="O7" t="s">
        <v>77</v>
      </c>
      <c r="P7" t="s">
        <v>32</v>
      </c>
      <c r="Q7" t="s">
        <v>44</v>
      </c>
      <c r="R7" t="s">
        <v>32</v>
      </c>
      <c r="S7" t="s">
        <v>32</v>
      </c>
    </row>
    <row r="8" spans="1:19" x14ac:dyDescent="0.3">
      <c r="A8" t="s">
        <v>352</v>
      </c>
      <c r="B8" t="s">
        <v>353</v>
      </c>
      <c r="C8" t="s">
        <v>354</v>
      </c>
      <c r="D8">
        <v>2013</v>
      </c>
      <c r="E8" t="s">
        <v>31</v>
      </c>
      <c r="F8" t="s">
        <v>104</v>
      </c>
      <c r="G8" t="s">
        <v>36</v>
      </c>
      <c r="H8" t="s">
        <v>457</v>
      </c>
      <c r="I8" t="s">
        <v>459</v>
      </c>
      <c r="J8">
        <f t="shared" si="0"/>
        <v>23</v>
      </c>
      <c r="K8" t="str">
        <f t="shared" si="1"/>
        <v>Not Out</v>
      </c>
      <c r="L8" t="s">
        <v>460</v>
      </c>
      <c r="M8" t="s">
        <v>461</v>
      </c>
      <c r="N8" t="s">
        <v>462</v>
      </c>
      <c r="O8" t="s">
        <v>77</v>
      </c>
      <c r="P8" t="s">
        <v>24</v>
      </c>
      <c r="Q8" t="s">
        <v>32</v>
      </c>
      <c r="R8" t="s">
        <v>32</v>
      </c>
      <c r="S8" t="s">
        <v>32</v>
      </c>
    </row>
    <row r="9" spans="1:19" x14ac:dyDescent="0.3">
      <c r="A9" t="s">
        <v>344</v>
      </c>
      <c r="B9" t="s">
        <v>345</v>
      </c>
      <c r="C9" t="s">
        <v>346</v>
      </c>
      <c r="D9">
        <v>2013</v>
      </c>
      <c r="E9" t="s">
        <v>24</v>
      </c>
      <c r="F9" t="s">
        <v>24</v>
      </c>
      <c r="G9" t="s">
        <v>32</v>
      </c>
      <c r="H9" t="s">
        <v>191</v>
      </c>
      <c r="I9" t="s">
        <v>216</v>
      </c>
      <c r="J9">
        <f t="shared" si="0"/>
        <v>39</v>
      </c>
      <c r="K9" t="str">
        <f t="shared" si="1"/>
        <v>Out</v>
      </c>
      <c r="L9" t="s">
        <v>463</v>
      </c>
      <c r="M9" t="s">
        <v>398</v>
      </c>
      <c r="N9" t="s">
        <v>464</v>
      </c>
      <c r="O9" t="s">
        <v>95</v>
      </c>
      <c r="P9" t="s">
        <v>36</v>
      </c>
      <c r="Q9" t="s">
        <v>32</v>
      </c>
      <c r="R9" t="s">
        <v>32</v>
      </c>
      <c r="S9" t="s">
        <v>32</v>
      </c>
    </row>
    <row r="10" spans="1:19" x14ac:dyDescent="0.3">
      <c r="A10" t="s">
        <v>56</v>
      </c>
      <c r="B10" t="s">
        <v>57</v>
      </c>
      <c r="C10" t="s">
        <v>58</v>
      </c>
      <c r="D10">
        <v>2013</v>
      </c>
      <c r="E10" t="s">
        <v>85</v>
      </c>
      <c r="F10" t="s">
        <v>24</v>
      </c>
      <c r="G10" t="s">
        <v>32</v>
      </c>
      <c r="H10" t="s">
        <v>465</v>
      </c>
      <c r="I10" t="s">
        <v>118</v>
      </c>
      <c r="J10">
        <f t="shared" si="0"/>
        <v>23</v>
      </c>
      <c r="K10" t="str">
        <f t="shared" si="1"/>
        <v>Out</v>
      </c>
      <c r="L10" t="s">
        <v>466</v>
      </c>
      <c r="M10" t="s">
        <v>170</v>
      </c>
      <c r="N10" t="s">
        <v>467</v>
      </c>
      <c r="O10" t="s">
        <v>44</v>
      </c>
      <c r="P10" t="s">
        <v>24</v>
      </c>
      <c r="Q10" t="s">
        <v>32</v>
      </c>
      <c r="R10" t="s">
        <v>32</v>
      </c>
      <c r="S10" t="s">
        <v>32</v>
      </c>
    </row>
    <row r="11" spans="1:19" x14ac:dyDescent="0.3">
      <c r="A11" t="s">
        <v>227</v>
      </c>
      <c r="B11" t="s">
        <v>228</v>
      </c>
      <c r="C11" t="s">
        <v>229</v>
      </c>
      <c r="D11">
        <v>2013</v>
      </c>
      <c r="E11" t="s">
        <v>31</v>
      </c>
      <c r="F11" t="s">
        <v>78</v>
      </c>
      <c r="G11" t="s">
        <v>55</v>
      </c>
      <c r="H11" t="s">
        <v>30</v>
      </c>
      <c r="I11" t="s">
        <v>282</v>
      </c>
      <c r="J11">
        <f t="shared" si="0"/>
        <v>11</v>
      </c>
      <c r="K11" t="str">
        <f t="shared" si="1"/>
        <v>Not Out</v>
      </c>
      <c r="L11" t="s">
        <v>468</v>
      </c>
      <c r="M11" t="s">
        <v>469</v>
      </c>
      <c r="N11" t="s">
        <v>470</v>
      </c>
      <c r="O11" t="s">
        <v>36</v>
      </c>
      <c r="P11" t="s">
        <v>32</v>
      </c>
      <c r="Q11" t="s">
        <v>32</v>
      </c>
      <c r="R11" t="s">
        <v>32</v>
      </c>
      <c r="S11" t="s">
        <v>32</v>
      </c>
    </row>
    <row r="12" spans="1:19" x14ac:dyDescent="0.3">
      <c r="A12" t="s">
        <v>471</v>
      </c>
      <c r="B12" t="s">
        <v>472</v>
      </c>
      <c r="C12" t="s">
        <v>473</v>
      </c>
      <c r="D12">
        <v>2013</v>
      </c>
      <c r="E12" t="s">
        <v>22</v>
      </c>
      <c r="F12" t="s">
        <v>95</v>
      </c>
      <c r="G12" t="s">
        <v>36</v>
      </c>
      <c r="H12" t="s">
        <v>23</v>
      </c>
      <c r="I12" t="s">
        <v>474</v>
      </c>
      <c r="J12">
        <f t="shared" si="0"/>
        <v>7</v>
      </c>
      <c r="K12" t="str">
        <f t="shared" si="1"/>
        <v>Not Out</v>
      </c>
      <c r="L12" t="s">
        <v>475</v>
      </c>
      <c r="M12" t="s">
        <v>22</v>
      </c>
      <c r="N12" t="s">
        <v>476</v>
      </c>
      <c r="O12" t="s">
        <v>32</v>
      </c>
      <c r="P12" t="s">
        <v>32</v>
      </c>
      <c r="Q12" t="s">
        <v>55</v>
      </c>
      <c r="R12" t="s">
        <v>32</v>
      </c>
      <c r="S12" t="s">
        <v>32</v>
      </c>
    </row>
    <row r="13" spans="1:19" x14ac:dyDescent="0.3">
      <c r="A13" t="s">
        <v>477</v>
      </c>
      <c r="B13" t="s">
        <v>478</v>
      </c>
      <c r="C13" t="s">
        <v>479</v>
      </c>
      <c r="D13">
        <v>2013</v>
      </c>
      <c r="E13" t="s">
        <v>44</v>
      </c>
      <c r="F13" t="s">
        <v>44</v>
      </c>
      <c r="G13" t="s">
        <v>55</v>
      </c>
      <c r="H13" t="s">
        <v>36</v>
      </c>
      <c r="I13" t="s">
        <v>480</v>
      </c>
      <c r="J13">
        <f t="shared" si="0"/>
        <v>4</v>
      </c>
      <c r="K13" t="str">
        <f t="shared" si="1"/>
        <v>Not Out</v>
      </c>
      <c r="L13" t="s">
        <v>231</v>
      </c>
      <c r="M13" t="s">
        <v>108</v>
      </c>
      <c r="N13" t="s">
        <v>481</v>
      </c>
      <c r="O13" t="s">
        <v>32</v>
      </c>
      <c r="P13" t="s">
        <v>32</v>
      </c>
      <c r="Q13" t="s">
        <v>55</v>
      </c>
      <c r="R13" t="s">
        <v>32</v>
      </c>
      <c r="S13" t="s">
        <v>32</v>
      </c>
    </row>
    <row r="14" spans="1:19" x14ac:dyDescent="0.3">
      <c r="A14" t="s">
        <v>482</v>
      </c>
      <c r="B14" t="s">
        <v>483</v>
      </c>
      <c r="C14" t="s">
        <v>484</v>
      </c>
      <c r="D14">
        <v>2013</v>
      </c>
      <c r="E14" t="s">
        <v>44</v>
      </c>
      <c r="F14" t="s">
        <v>55</v>
      </c>
      <c r="G14" t="s">
        <v>55</v>
      </c>
      <c r="H14" t="s">
        <v>44</v>
      </c>
      <c r="I14" t="s">
        <v>233</v>
      </c>
      <c r="J14">
        <f t="shared" si="0"/>
        <v>2</v>
      </c>
      <c r="K14" t="str">
        <f t="shared" si="1"/>
        <v>Not Out</v>
      </c>
      <c r="L14" t="s">
        <v>157</v>
      </c>
      <c r="M14" t="s">
        <v>95</v>
      </c>
      <c r="N14" t="s">
        <v>305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139</v>
      </c>
      <c r="B15" t="s">
        <v>140</v>
      </c>
      <c r="C15" t="s">
        <v>141</v>
      </c>
      <c r="D15">
        <v>2013</v>
      </c>
      <c r="E15" t="s">
        <v>55</v>
      </c>
      <c r="F15" t="s">
        <v>55</v>
      </c>
      <c r="G15" t="s">
        <v>32</v>
      </c>
      <c r="H15" t="s">
        <v>32</v>
      </c>
      <c r="I15" t="s">
        <v>32</v>
      </c>
      <c r="J15">
        <f t="shared" si="0"/>
        <v>0</v>
      </c>
      <c r="K15" t="str">
        <f t="shared" si="1"/>
        <v>Out</v>
      </c>
      <c r="L15" t="s">
        <v>148</v>
      </c>
      <c r="M15" t="s">
        <v>44</v>
      </c>
      <c r="N15" t="s">
        <v>148</v>
      </c>
      <c r="O15" t="s">
        <v>32</v>
      </c>
      <c r="P15" t="s">
        <v>32</v>
      </c>
      <c r="Q15" t="s">
        <v>55</v>
      </c>
      <c r="R15" t="s">
        <v>32</v>
      </c>
      <c r="S15" t="s">
        <v>32</v>
      </c>
    </row>
    <row r="16" spans="1:19" x14ac:dyDescent="0.3">
      <c r="A16" t="s">
        <v>485</v>
      </c>
      <c r="B16" t="s">
        <v>486</v>
      </c>
      <c r="C16" t="s">
        <v>487</v>
      </c>
      <c r="D16">
        <v>2013</v>
      </c>
      <c r="E16" t="s">
        <v>78</v>
      </c>
      <c r="F16" t="s">
        <v>55</v>
      </c>
      <c r="G16" t="s">
        <v>55</v>
      </c>
      <c r="H16" t="s">
        <v>32</v>
      </c>
      <c r="I16" t="s">
        <v>244</v>
      </c>
      <c r="J16">
        <f t="shared" si="0"/>
        <v>0</v>
      </c>
      <c r="K16" t="str">
        <f t="shared" si="1"/>
        <v>Not Out</v>
      </c>
      <c r="L16" t="s">
        <v>157</v>
      </c>
      <c r="M16" t="s">
        <v>32</v>
      </c>
      <c r="N16" t="s">
        <v>157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488</v>
      </c>
      <c r="B17" t="s">
        <v>489</v>
      </c>
      <c r="C17" t="s">
        <v>490</v>
      </c>
      <c r="D17">
        <v>2013</v>
      </c>
      <c r="E17" t="s">
        <v>43</v>
      </c>
      <c r="F17" t="s">
        <v>44</v>
      </c>
      <c r="G17" t="s">
        <v>55</v>
      </c>
      <c r="H17" t="s">
        <v>32</v>
      </c>
      <c r="I17" t="s">
        <v>244</v>
      </c>
      <c r="J17">
        <f t="shared" si="0"/>
        <v>0</v>
      </c>
      <c r="K17" t="str">
        <f t="shared" si="1"/>
        <v>Not Out</v>
      </c>
      <c r="L17" t="s">
        <v>148</v>
      </c>
      <c r="M17" t="s">
        <v>78</v>
      </c>
      <c r="N17" t="s">
        <v>148</v>
      </c>
      <c r="O17" t="s">
        <v>32</v>
      </c>
      <c r="P17" t="s">
        <v>32</v>
      </c>
      <c r="Q17" t="s">
        <v>55</v>
      </c>
      <c r="R17" t="s">
        <v>32</v>
      </c>
      <c r="S17" t="s">
        <v>32</v>
      </c>
    </row>
    <row r="18" spans="1:19" x14ac:dyDescent="0.3">
      <c r="A18" t="s">
        <v>491</v>
      </c>
      <c r="B18" t="s">
        <v>492</v>
      </c>
      <c r="C18" t="s">
        <v>493</v>
      </c>
      <c r="D18">
        <v>2013</v>
      </c>
      <c r="E18" t="s">
        <v>95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9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3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494</v>
      </c>
      <c r="B2" t="s">
        <v>495</v>
      </c>
      <c r="C2" t="s">
        <v>496</v>
      </c>
      <c r="D2">
        <v>2014</v>
      </c>
      <c r="E2" t="s">
        <v>22</v>
      </c>
      <c r="F2" t="s">
        <v>22</v>
      </c>
      <c r="G2" t="s">
        <v>32</v>
      </c>
      <c r="H2" t="s">
        <v>431</v>
      </c>
      <c r="I2" t="s">
        <v>275</v>
      </c>
      <c r="J2">
        <f t="shared" ref="J2:J19" si="0">IF(I2="-", "-", VALUE(SUBSTITUTE(I2,"*","")))</f>
        <v>79</v>
      </c>
      <c r="K2" t="str">
        <f t="shared" ref="K2:K19" si="1">IF(I2="-", "-", IF(ISNUMBER(FIND("*", I2)), "Not Out", "Out"))</f>
        <v>Out</v>
      </c>
      <c r="L2" t="s">
        <v>497</v>
      </c>
      <c r="M2" t="s">
        <v>498</v>
      </c>
      <c r="N2" t="s">
        <v>499</v>
      </c>
      <c r="O2" t="s">
        <v>438</v>
      </c>
      <c r="P2" t="s">
        <v>323</v>
      </c>
      <c r="Q2" t="s">
        <v>32</v>
      </c>
      <c r="R2" t="s">
        <v>78</v>
      </c>
      <c r="S2" t="s">
        <v>32</v>
      </c>
    </row>
    <row r="3" spans="1:19" x14ac:dyDescent="0.3">
      <c r="A3" t="s">
        <v>19</v>
      </c>
      <c r="B3" t="s">
        <v>20</v>
      </c>
      <c r="C3" t="s">
        <v>21</v>
      </c>
      <c r="D3">
        <v>2014</v>
      </c>
      <c r="E3" t="s">
        <v>22</v>
      </c>
      <c r="F3" t="s">
        <v>22</v>
      </c>
      <c r="G3" t="s">
        <v>24</v>
      </c>
      <c r="H3" t="s">
        <v>500</v>
      </c>
      <c r="I3" t="s">
        <v>501</v>
      </c>
      <c r="J3">
        <f t="shared" si="0"/>
        <v>87</v>
      </c>
      <c r="K3" t="str">
        <f t="shared" si="1"/>
        <v>Out</v>
      </c>
      <c r="L3" t="s">
        <v>502</v>
      </c>
      <c r="M3" t="s">
        <v>503</v>
      </c>
      <c r="N3" t="s">
        <v>504</v>
      </c>
      <c r="O3" t="s">
        <v>505</v>
      </c>
      <c r="P3" t="s">
        <v>187</v>
      </c>
      <c r="Q3" t="s">
        <v>32</v>
      </c>
      <c r="R3" t="s">
        <v>78</v>
      </c>
      <c r="S3" t="s">
        <v>32</v>
      </c>
    </row>
    <row r="4" spans="1:19" x14ac:dyDescent="0.3">
      <c r="A4" t="s">
        <v>506</v>
      </c>
      <c r="B4" t="s">
        <v>507</v>
      </c>
      <c r="C4" t="s">
        <v>508</v>
      </c>
      <c r="D4">
        <v>2014</v>
      </c>
      <c r="E4" t="s">
        <v>23</v>
      </c>
      <c r="F4" t="s">
        <v>23</v>
      </c>
      <c r="G4" t="s">
        <v>55</v>
      </c>
      <c r="H4" t="s">
        <v>509</v>
      </c>
      <c r="I4" t="s">
        <v>325</v>
      </c>
      <c r="J4">
        <f t="shared" si="0"/>
        <v>71</v>
      </c>
      <c r="K4" t="str">
        <f t="shared" si="1"/>
        <v>Not Out</v>
      </c>
      <c r="L4" t="s">
        <v>510</v>
      </c>
      <c r="M4" t="s">
        <v>511</v>
      </c>
      <c r="N4" t="s">
        <v>512</v>
      </c>
      <c r="O4" t="s">
        <v>444</v>
      </c>
      <c r="P4" t="s">
        <v>187</v>
      </c>
      <c r="Q4" t="s">
        <v>32</v>
      </c>
      <c r="R4" t="s">
        <v>24</v>
      </c>
      <c r="S4" t="s">
        <v>32</v>
      </c>
    </row>
    <row r="5" spans="1:19" x14ac:dyDescent="0.3">
      <c r="A5" t="s">
        <v>33</v>
      </c>
      <c r="B5" t="s">
        <v>34</v>
      </c>
      <c r="C5" t="s">
        <v>35</v>
      </c>
      <c r="D5">
        <v>2014</v>
      </c>
      <c r="E5" t="s">
        <v>22</v>
      </c>
      <c r="F5" t="s">
        <v>43</v>
      </c>
      <c r="G5" t="s">
        <v>59</v>
      </c>
      <c r="H5" t="s">
        <v>383</v>
      </c>
      <c r="I5" t="s">
        <v>513</v>
      </c>
      <c r="J5">
        <f t="shared" si="0"/>
        <v>57</v>
      </c>
      <c r="K5" t="str">
        <f t="shared" si="1"/>
        <v>Not Out</v>
      </c>
      <c r="L5" t="s">
        <v>514</v>
      </c>
      <c r="M5" t="s">
        <v>515</v>
      </c>
      <c r="N5" t="s">
        <v>516</v>
      </c>
      <c r="O5" t="s">
        <v>164</v>
      </c>
      <c r="P5" t="s">
        <v>181</v>
      </c>
      <c r="Q5" t="s">
        <v>32</v>
      </c>
      <c r="R5" t="s">
        <v>55</v>
      </c>
      <c r="S5" t="s">
        <v>32</v>
      </c>
    </row>
    <row r="6" spans="1:19" x14ac:dyDescent="0.3">
      <c r="A6" t="s">
        <v>375</v>
      </c>
      <c r="B6" t="s">
        <v>376</v>
      </c>
      <c r="C6" t="s">
        <v>377</v>
      </c>
      <c r="D6">
        <v>2014</v>
      </c>
      <c r="E6" t="s">
        <v>43</v>
      </c>
      <c r="F6" t="s">
        <v>104</v>
      </c>
      <c r="G6" t="s">
        <v>55</v>
      </c>
      <c r="H6" t="s">
        <v>258</v>
      </c>
      <c r="I6" t="s">
        <v>517</v>
      </c>
      <c r="J6">
        <f t="shared" si="0"/>
        <v>54</v>
      </c>
      <c r="K6" t="str">
        <f t="shared" si="1"/>
        <v>Not Out</v>
      </c>
      <c r="L6" t="s">
        <v>518</v>
      </c>
      <c r="M6" t="s">
        <v>519</v>
      </c>
      <c r="N6" t="s">
        <v>520</v>
      </c>
      <c r="O6" t="s">
        <v>255</v>
      </c>
      <c r="P6" t="s">
        <v>143</v>
      </c>
      <c r="Q6" t="s">
        <v>44</v>
      </c>
      <c r="R6" t="s">
        <v>44</v>
      </c>
      <c r="S6" t="s">
        <v>32</v>
      </c>
    </row>
    <row r="7" spans="1:19" x14ac:dyDescent="0.3">
      <c r="A7" t="s">
        <v>406</v>
      </c>
      <c r="B7" t="s">
        <v>407</v>
      </c>
      <c r="C7" t="s">
        <v>408</v>
      </c>
      <c r="D7">
        <v>2014</v>
      </c>
      <c r="E7" t="s">
        <v>22</v>
      </c>
      <c r="F7" t="s">
        <v>59</v>
      </c>
      <c r="G7" t="s">
        <v>78</v>
      </c>
      <c r="H7" t="s">
        <v>521</v>
      </c>
      <c r="I7" t="s">
        <v>522</v>
      </c>
      <c r="J7">
        <f t="shared" si="0"/>
        <v>36</v>
      </c>
      <c r="K7" t="str">
        <f t="shared" si="1"/>
        <v>Not Out</v>
      </c>
      <c r="L7" t="s">
        <v>523</v>
      </c>
      <c r="M7" t="s">
        <v>524</v>
      </c>
      <c r="N7" t="s">
        <v>525</v>
      </c>
      <c r="O7" t="s">
        <v>108</v>
      </c>
      <c r="P7" t="s">
        <v>78</v>
      </c>
      <c r="Q7" t="s">
        <v>32</v>
      </c>
      <c r="R7" t="s">
        <v>32</v>
      </c>
      <c r="S7" t="s">
        <v>32</v>
      </c>
    </row>
    <row r="8" spans="1:19" x14ac:dyDescent="0.3">
      <c r="A8" t="s">
        <v>526</v>
      </c>
      <c r="B8" t="s">
        <v>527</v>
      </c>
      <c r="C8" t="s">
        <v>528</v>
      </c>
      <c r="D8">
        <v>2014</v>
      </c>
      <c r="E8" t="s">
        <v>78</v>
      </c>
      <c r="F8" t="s">
        <v>36</v>
      </c>
      <c r="G8" t="s">
        <v>44</v>
      </c>
      <c r="H8" t="s">
        <v>529</v>
      </c>
      <c r="I8" t="s">
        <v>530</v>
      </c>
      <c r="J8">
        <f t="shared" si="0"/>
        <v>50</v>
      </c>
      <c r="K8" t="str">
        <f t="shared" si="1"/>
        <v>Not Out</v>
      </c>
      <c r="L8" t="s">
        <v>531</v>
      </c>
      <c r="M8" t="s">
        <v>532</v>
      </c>
      <c r="N8" t="s">
        <v>533</v>
      </c>
      <c r="O8" t="s">
        <v>85</v>
      </c>
      <c r="P8" t="s">
        <v>95</v>
      </c>
      <c r="Q8" t="s">
        <v>32</v>
      </c>
      <c r="R8" t="s">
        <v>55</v>
      </c>
      <c r="S8" t="s">
        <v>32</v>
      </c>
    </row>
    <row r="9" spans="1:19" x14ac:dyDescent="0.3">
      <c r="A9" t="s">
        <v>227</v>
      </c>
      <c r="B9" t="s">
        <v>228</v>
      </c>
      <c r="C9" t="s">
        <v>229</v>
      </c>
      <c r="D9">
        <v>2014</v>
      </c>
      <c r="E9" t="s">
        <v>22</v>
      </c>
      <c r="F9" t="s">
        <v>95</v>
      </c>
      <c r="G9" t="s">
        <v>24</v>
      </c>
      <c r="H9" t="s">
        <v>69</v>
      </c>
      <c r="I9" t="s">
        <v>23</v>
      </c>
      <c r="J9">
        <f t="shared" si="0"/>
        <v>14</v>
      </c>
      <c r="K9" t="str">
        <f t="shared" si="1"/>
        <v>Out</v>
      </c>
      <c r="L9" t="s">
        <v>208</v>
      </c>
      <c r="M9" t="s">
        <v>69</v>
      </c>
      <c r="N9" t="s">
        <v>232</v>
      </c>
      <c r="O9" t="s">
        <v>36</v>
      </c>
      <c r="P9" t="s">
        <v>32</v>
      </c>
      <c r="Q9" t="s">
        <v>32</v>
      </c>
      <c r="R9" t="s">
        <v>32</v>
      </c>
      <c r="S9" t="s">
        <v>32</v>
      </c>
    </row>
    <row r="10" spans="1:19" x14ac:dyDescent="0.3">
      <c r="A10" t="s">
        <v>534</v>
      </c>
      <c r="B10" t="s">
        <v>535</v>
      </c>
      <c r="C10" t="s">
        <v>536</v>
      </c>
      <c r="D10">
        <v>2014</v>
      </c>
      <c r="E10" t="s">
        <v>104</v>
      </c>
      <c r="F10" t="s">
        <v>78</v>
      </c>
      <c r="G10" t="s">
        <v>24</v>
      </c>
      <c r="H10" t="s">
        <v>30</v>
      </c>
      <c r="I10" t="s">
        <v>537</v>
      </c>
      <c r="J10">
        <f t="shared" si="0"/>
        <v>13</v>
      </c>
      <c r="K10" t="str">
        <f t="shared" si="1"/>
        <v>Not Out</v>
      </c>
      <c r="L10" t="s">
        <v>538</v>
      </c>
      <c r="M10" t="s">
        <v>118</v>
      </c>
      <c r="N10" t="s">
        <v>119</v>
      </c>
      <c r="O10" t="s">
        <v>24</v>
      </c>
      <c r="P10" t="s">
        <v>55</v>
      </c>
      <c r="Q10" t="s">
        <v>32</v>
      </c>
      <c r="R10" t="s">
        <v>32</v>
      </c>
      <c r="S10" t="s">
        <v>32</v>
      </c>
    </row>
    <row r="11" spans="1:19" x14ac:dyDescent="0.3">
      <c r="A11" t="s">
        <v>352</v>
      </c>
      <c r="B11" t="s">
        <v>353</v>
      </c>
      <c r="C11" t="s">
        <v>354</v>
      </c>
      <c r="D11">
        <v>2014</v>
      </c>
      <c r="E11" t="s">
        <v>55</v>
      </c>
      <c r="F11" t="s">
        <v>55</v>
      </c>
      <c r="G11" t="s">
        <v>55</v>
      </c>
      <c r="H11" t="s">
        <v>85</v>
      </c>
      <c r="I11" t="s">
        <v>539</v>
      </c>
      <c r="J11">
        <f t="shared" si="0"/>
        <v>8</v>
      </c>
      <c r="K11" t="str">
        <f t="shared" si="1"/>
        <v>Not Out</v>
      </c>
      <c r="L11" t="s">
        <v>157</v>
      </c>
      <c r="M11" t="s">
        <v>24</v>
      </c>
      <c r="N11" t="s">
        <v>540</v>
      </c>
      <c r="O11" t="s">
        <v>32</v>
      </c>
      <c r="P11" t="s">
        <v>55</v>
      </c>
      <c r="Q11" t="s">
        <v>32</v>
      </c>
      <c r="R11" t="s">
        <v>32</v>
      </c>
      <c r="S11" t="s">
        <v>32</v>
      </c>
    </row>
    <row r="12" spans="1:19" x14ac:dyDescent="0.3">
      <c r="A12" t="s">
        <v>488</v>
      </c>
      <c r="B12" t="s">
        <v>489</v>
      </c>
      <c r="C12" t="s">
        <v>490</v>
      </c>
      <c r="D12">
        <v>2014</v>
      </c>
      <c r="E12" t="s">
        <v>22</v>
      </c>
      <c r="F12" t="s">
        <v>55</v>
      </c>
      <c r="G12" t="s">
        <v>55</v>
      </c>
      <c r="H12" t="s">
        <v>55</v>
      </c>
      <c r="I12" t="s">
        <v>239</v>
      </c>
      <c r="J12">
        <f t="shared" si="0"/>
        <v>1</v>
      </c>
      <c r="K12" t="str">
        <f t="shared" si="1"/>
        <v>Not Out</v>
      </c>
      <c r="L12" t="s">
        <v>157</v>
      </c>
      <c r="M12" t="s">
        <v>24</v>
      </c>
      <c r="N12" t="s">
        <v>305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</row>
    <row r="13" spans="1:19" x14ac:dyDescent="0.3">
      <c r="A13" t="s">
        <v>423</v>
      </c>
      <c r="B13" t="s">
        <v>424</v>
      </c>
      <c r="C13" t="s">
        <v>425</v>
      </c>
      <c r="D13">
        <v>2014</v>
      </c>
      <c r="E13" t="s">
        <v>85</v>
      </c>
      <c r="F13" t="s">
        <v>55</v>
      </c>
      <c r="G13" t="s">
        <v>55</v>
      </c>
      <c r="H13" t="s">
        <v>32</v>
      </c>
      <c r="I13" t="s">
        <v>244</v>
      </c>
      <c r="J13">
        <f t="shared" si="0"/>
        <v>0</v>
      </c>
      <c r="K13" t="str">
        <f t="shared" si="1"/>
        <v>Not Out</v>
      </c>
      <c r="L13" t="s">
        <v>157</v>
      </c>
      <c r="M13" t="s">
        <v>32</v>
      </c>
      <c r="N13" t="s">
        <v>157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541</v>
      </c>
      <c r="B14" t="s">
        <v>542</v>
      </c>
      <c r="C14" t="s">
        <v>543</v>
      </c>
      <c r="D14">
        <v>2014</v>
      </c>
      <c r="E14" t="s">
        <v>36</v>
      </c>
      <c r="F14" t="s">
        <v>157</v>
      </c>
      <c r="G14" t="s">
        <v>157</v>
      </c>
      <c r="H14" t="s">
        <v>157</v>
      </c>
      <c r="I14" t="s">
        <v>157</v>
      </c>
      <c r="J14" t="str">
        <f t="shared" si="0"/>
        <v>-</v>
      </c>
      <c r="K14" t="str">
        <f t="shared" si="1"/>
        <v>-</v>
      </c>
      <c r="L14" t="s">
        <v>157</v>
      </c>
      <c r="M14" t="s">
        <v>157</v>
      </c>
      <c r="N14" t="s">
        <v>157</v>
      </c>
      <c r="O14" t="s">
        <v>157</v>
      </c>
      <c r="P14" t="s">
        <v>157</v>
      </c>
      <c r="Q14" t="s">
        <v>157</v>
      </c>
      <c r="R14" t="s">
        <v>157</v>
      </c>
      <c r="S14" t="s">
        <v>157</v>
      </c>
    </row>
    <row r="15" spans="1:19" x14ac:dyDescent="0.3">
      <c r="A15" t="s">
        <v>544</v>
      </c>
      <c r="B15" t="s">
        <v>545</v>
      </c>
      <c r="C15" t="s">
        <v>546</v>
      </c>
      <c r="D15">
        <v>2014</v>
      </c>
      <c r="E15" t="s">
        <v>55</v>
      </c>
      <c r="F15" t="s">
        <v>157</v>
      </c>
      <c r="G15" t="s">
        <v>157</v>
      </c>
      <c r="H15" t="s">
        <v>157</v>
      </c>
      <c r="I15" t="s">
        <v>157</v>
      </c>
      <c r="J15" t="str">
        <f t="shared" si="0"/>
        <v>-</v>
      </c>
      <c r="K15" t="str">
        <f t="shared" si="1"/>
        <v>-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</row>
    <row r="16" spans="1:19" x14ac:dyDescent="0.3">
      <c r="A16" t="s">
        <v>547</v>
      </c>
      <c r="B16" t="s">
        <v>548</v>
      </c>
      <c r="C16" t="s">
        <v>549</v>
      </c>
      <c r="D16">
        <v>2014</v>
      </c>
      <c r="E16" t="s">
        <v>44</v>
      </c>
      <c r="F16" t="s">
        <v>157</v>
      </c>
      <c r="G16" t="s">
        <v>157</v>
      </c>
      <c r="H16" t="s">
        <v>157</v>
      </c>
      <c r="I16" t="s">
        <v>157</v>
      </c>
      <c r="J16" t="str">
        <f t="shared" si="0"/>
        <v>-</v>
      </c>
      <c r="K16" t="str">
        <f t="shared" si="1"/>
        <v>-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</row>
    <row r="17" spans="1:19" x14ac:dyDescent="0.3">
      <c r="A17" t="s">
        <v>550</v>
      </c>
      <c r="B17" t="s">
        <v>551</v>
      </c>
      <c r="C17" t="s">
        <v>552</v>
      </c>
      <c r="D17">
        <v>2014</v>
      </c>
      <c r="E17" t="s">
        <v>36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553</v>
      </c>
      <c r="B18" t="s">
        <v>554</v>
      </c>
      <c r="C18" t="s">
        <v>555</v>
      </c>
      <c r="D18">
        <v>2014</v>
      </c>
      <c r="E18" t="s">
        <v>48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  <row r="19" spans="1:19" x14ac:dyDescent="0.3">
      <c r="A19" t="s">
        <v>556</v>
      </c>
      <c r="B19" t="s">
        <v>557</v>
      </c>
      <c r="C19" t="s">
        <v>558</v>
      </c>
      <c r="D19">
        <v>2014</v>
      </c>
      <c r="E19" t="s">
        <v>55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5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2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506</v>
      </c>
      <c r="B2" t="s">
        <v>507</v>
      </c>
      <c r="C2" t="s">
        <v>508</v>
      </c>
      <c r="D2">
        <v>2015</v>
      </c>
      <c r="E2" t="s">
        <v>23</v>
      </c>
      <c r="F2" t="s">
        <v>23</v>
      </c>
      <c r="G2" t="s">
        <v>55</v>
      </c>
      <c r="H2" t="s">
        <v>559</v>
      </c>
      <c r="I2" t="s">
        <v>434</v>
      </c>
      <c r="J2">
        <f t="shared" ref="J2:J15" si="0">IF(I2="-", "-", VALUE(SUBSTITUTE(I2,"*","")))</f>
        <v>100</v>
      </c>
      <c r="K2" t="str">
        <f t="shared" ref="K2:K15" si="1">IF(I2="-", "-", IF(ISNUMBER(FIND("*", I2)), "Not Out", "Out"))</f>
        <v>Not Out</v>
      </c>
      <c r="L2" t="s">
        <v>560</v>
      </c>
      <c r="M2" t="s">
        <v>561</v>
      </c>
      <c r="N2" t="s">
        <v>562</v>
      </c>
      <c r="O2" t="s">
        <v>505</v>
      </c>
      <c r="P2" t="s">
        <v>118</v>
      </c>
      <c r="Q2" t="s">
        <v>32</v>
      </c>
      <c r="R2" t="s">
        <v>44</v>
      </c>
      <c r="S2" t="s">
        <v>55</v>
      </c>
    </row>
    <row r="3" spans="1:19" x14ac:dyDescent="0.3">
      <c r="A3" t="s">
        <v>494</v>
      </c>
      <c r="B3" t="s">
        <v>495</v>
      </c>
      <c r="C3" t="s">
        <v>496</v>
      </c>
      <c r="D3">
        <v>2015</v>
      </c>
      <c r="E3" t="s">
        <v>22</v>
      </c>
      <c r="F3" t="s">
        <v>22</v>
      </c>
      <c r="G3" t="s">
        <v>32</v>
      </c>
      <c r="H3" t="s">
        <v>563</v>
      </c>
      <c r="I3" t="s">
        <v>201</v>
      </c>
      <c r="J3">
        <f t="shared" si="0"/>
        <v>62</v>
      </c>
      <c r="K3" t="str">
        <f t="shared" si="1"/>
        <v>Out</v>
      </c>
      <c r="L3" t="s">
        <v>564</v>
      </c>
      <c r="M3" t="s">
        <v>565</v>
      </c>
      <c r="N3" t="s">
        <v>566</v>
      </c>
      <c r="O3" t="s">
        <v>567</v>
      </c>
      <c r="P3" t="s">
        <v>22</v>
      </c>
      <c r="Q3" t="s">
        <v>24</v>
      </c>
      <c r="R3" t="s">
        <v>44</v>
      </c>
      <c r="S3" t="s">
        <v>32</v>
      </c>
    </row>
    <row r="4" spans="1:19" x14ac:dyDescent="0.3">
      <c r="A4" t="s">
        <v>375</v>
      </c>
      <c r="B4" t="s">
        <v>376</v>
      </c>
      <c r="C4" t="s">
        <v>377</v>
      </c>
      <c r="D4">
        <v>2015</v>
      </c>
      <c r="E4" t="s">
        <v>297</v>
      </c>
      <c r="F4" t="s">
        <v>43</v>
      </c>
      <c r="G4" t="s">
        <v>44</v>
      </c>
      <c r="H4" t="s">
        <v>568</v>
      </c>
      <c r="I4" t="s">
        <v>446</v>
      </c>
      <c r="J4">
        <f t="shared" si="0"/>
        <v>55</v>
      </c>
      <c r="K4" t="str">
        <f t="shared" si="1"/>
        <v>Out</v>
      </c>
      <c r="L4" t="s">
        <v>569</v>
      </c>
      <c r="M4" t="s">
        <v>380</v>
      </c>
      <c r="N4" t="s">
        <v>464</v>
      </c>
      <c r="O4" t="s">
        <v>170</v>
      </c>
      <c r="P4" t="s">
        <v>78</v>
      </c>
      <c r="Q4" t="s">
        <v>32</v>
      </c>
      <c r="R4" t="s">
        <v>55</v>
      </c>
      <c r="S4" t="s">
        <v>32</v>
      </c>
    </row>
    <row r="5" spans="1:19" x14ac:dyDescent="0.3">
      <c r="A5" t="s">
        <v>19</v>
      </c>
      <c r="B5" t="s">
        <v>20</v>
      </c>
      <c r="C5" t="s">
        <v>21</v>
      </c>
      <c r="D5">
        <v>2015</v>
      </c>
      <c r="E5" t="s">
        <v>297</v>
      </c>
      <c r="F5" t="s">
        <v>297</v>
      </c>
      <c r="G5" t="s">
        <v>44</v>
      </c>
      <c r="H5" t="s">
        <v>570</v>
      </c>
      <c r="I5" t="s">
        <v>201</v>
      </c>
      <c r="J5">
        <f t="shared" si="0"/>
        <v>62</v>
      </c>
      <c r="K5" t="str">
        <f t="shared" si="1"/>
        <v>Out</v>
      </c>
      <c r="L5" t="s">
        <v>564</v>
      </c>
      <c r="M5" t="s">
        <v>571</v>
      </c>
      <c r="N5" t="s">
        <v>572</v>
      </c>
      <c r="O5" t="s">
        <v>207</v>
      </c>
      <c r="P5" t="s">
        <v>22</v>
      </c>
      <c r="Q5" t="s">
        <v>55</v>
      </c>
      <c r="R5" t="s">
        <v>44</v>
      </c>
      <c r="S5" t="s">
        <v>32</v>
      </c>
    </row>
    <row r="6" spans="1:19" x14ac:dyDescent="0.3">
      <c r="A6" t="s">
        <v>33</v>
      </c>
      <c r="B6" t="s">
        <v>34</v>
      </c>
      <c r="C6" t="s">
        <v>35</v>
      </c>
      <c r="D6">
        <v>2015</v>
      </c>
      <c r="E6" t="s">
        <v>297</v>
      </c>
      <c r="F6" t="s">
        <v>297</v>
      </c>
      <c r="G6" t="s">
        <v>78</v>
      </c>
      <c r="H6" t="s">
        <v>573</v>
      </c>
      <c r="I6" t="s">
        <v>202</v>
      </c>
      <c r="J6">
        <f t="shared" si="0"/>
        <v>53</v>
      </c>
      <c r="K6" t="str">
        <f t="shared" si="1"/>
        <v>Out</v>
      </c>
      <c r="L6" t="s">
        <v>167</v>
      </c>
      <c r="M6" t="s">
        <v>571</v>
      </c>
      <c r="N6" t="s">
        <v>574</v>
      </c>
      <c r="O6" t="s">
        <v>73</v>
      </c>
      <c r="P6" t="s">
        <v>297</v>
      </c>
      <c r="Q6" t="s">
        <v>55</v>
      </c>
      <c r="R6" t="s">
        <v>55</v>
      </c>
      <c r="S6" t="s">
        <v>32</v>
      </c>
    </row>
    <row r="7" spans="1:19" x14ac:dyDescent="0.3">
      <c r="A7" t="s">
        <v>352</v>
      </c>
      <c r="B7" t="s">
        <v>353</v>
      </c>
      <c r="C7" t="s">
        <v>354</v>
      </c>
      <c r="D7">
        <v>2015</v>
      </c>
      <c r="E7" t="s">
        <v>297</v>
      </c>
      <c r="F7" t="s">
        <v>23</v>
      </c>
      <c r="G7" t="s">
        <v>78</v>
      </c>
      <c r="H7" t="s">
        <v>575</v>
      </c>
      <c r="I7" t="s">
        <v>576</v>
      </c>
      <c r="J7">
        <f t="shared" si="0"/>
        <v>62</v>
      </c>
      <c r="K7" t="str">
        <f t="shared" si="1"/>
        <v>Not Out</v>
      </c>
      <c r="L7" t="s">
        <v>577</v>
      </c>
      <c r="M7" t="s">
        <v>578</v>
      </c>
      <c r="N7" t="s">
        <v>579</v>
      </c>
      <c r="O7" t="s">
        <v>164</v>
      </c>
      <c r="P7" t="s">
        <v>78</v>
      </c>
      <c r="Q7" t="s">
        <v>55</v>
      </c>
      <c r="R7" t="s">
        <v>55</v>
      </c>
      <c r="S7" t="s">
        <v>32</v>
      </c>
    </row>
    <row r="8" spans="1:19" x14ac:dyDescent="0.3">
      <c r="A8" t="s">
        <v>406</v>
      </c>
      <c r="B8" t="s">
        <v>407</v>
      </c>
      <c r="C8" t="s">
        <v>408</v>
      </c>
      <c r="D8">
        <v>2015</v>
      </c>
      <c r="E8" t="s">
        <v>297</v>
      </c>
      <c r="F8" t="s">
        <v>104</v>
      </c>
      <c r="G8" t="s">
        <v>78</v>
      </c>
      <c r="H8" t="s">
        <v>580</v>
      </c>
      <c r="I8" t="s">
        <v>94</v>
      </c>
      <c r="J8">
        <f t="shared" si="0"/>
        <v>24</v>
      </c>
      <c r="K8" t="str">
        <f t="shared" si="1"/>
        <v>Out</v>
      </c>
      <c r="L8" t="s">
        <v>581</v>
      </c>
      <c r="M8" t="s">
        <v>185</v>
      </c>
      <c r="N8" t="s">
        <v>582</v>
      </c>
      <c r="O8" t="s">
        <v>143</v>
      </c>
      <c r="P8" t="s">
        <v>24</v>
      </c>
      <c r="Q8" t="s">
        <v>55</v>
      </c>
      <c r="R8" t="s">
        <v>32</v>
      </c>
      <c r="S8" t="s">
        <v>32</v>
      </c>
    </row>
    <row r="9" spans="1:19" x14ac:dyDescent="0.3">
      <c r="A9" t="s">
        <v>547</v>
      </c>
      <c r="B9" t="s">
        <v>548</v>
      </c>
      <c r="C9" t="s">
        <v>549</v>
      </c>
      <c r="D9">
        <v>2015</v>
      </c>
      <c r="E9" t="s">
        <v>59</v>
      </c>
      <c r="F9" t="s">
        <v>108</v>
      </c>
      <c r="G9" t="s">
        <v>55</v>
      </c>
      <c r="H9" t="s">
        <v>529</v>
      </c>
      <c r="I9" t="s">
        <v>183</v>
      </c>
      <c r="J9">
        <f t="shared" si="0"/>
        <v>36</v>
      </c>
      <c r="K9" t="str">
        <f t="shared" si="1"/>
        <v>Out</v>
      </c>
      <c r="L9" t="s">
        <v>583</v>
      </c>
      <c r="M9" t="s">
        <v>372</v>
      </c>
      <c r="N9" t="s">
        <v>584</v>
      </c>
      <c r="O9" t="s">
        <v>59</v>
      </c>
      <c r="P9" t="s">
        <v>78</v>
      </c>
      <c r="Q9" t="s">
        <v>32</v>
      </c>
      <c r="R9" t="s">
        <v>32</v>
      </c>
      <c r="S9" t="s">
        <v>32</v>
      </c>
    </row>
    <row r="10" spans="1:19" x14ac:dyDescent="0.3">
      <c r="A10" t="s">
        <v>96</v>
      </c>
      <c r="B10" t="s">
        <v>97</v>
      </c>
      <c r="C10" t="s">
        <v>98</v>
      </c>
      <c r="D10">
        <v>2015</v>
      </c>
      <c r="E10" t="s">
        <v>36</v>
      </c>
      <c r="F10" t="s">
        <v>36</v>
      </c>
      <c r="G10" t="s">
        <v>32</v>
      </c>
      <c r="H10" t="s">
        <v>585</v>
      </c>
      <c r="I10" t="s">
        <v>398</v>
      </c>
      <c r="J10">
        <f t="shared" si="0"/>
        <v>56</v>
      </c>
      <c r="K10" t="str">
        <f t="shared" si="1"/>
        <v>Out</v>
      </c>
      <c r="L10" t="s">
        <v>586</v>
      </c>
      <c r="M10" t="s">
        <v>191</v>
      </c>
      <c r="N10" t="s">
        <v>587</v>
      </c>
      <c r="O10" t="s">
        <v>78</v>
      </c>
      <c r="P10" t="s">
        <v>24</v>
      </c>
      <c r="Q10" t="s">
        <v>32</v>
      </c>
      <c r="R10" t="s">
        <v>55</v>
      </c>
      <c r="S10" t="s">
        <v>32</v>
      </c>
    </row>
    <row r="11" spans="1:19" x14ac:dyDescent="0.3">
      <c r="A11" t="s">
        <v>227</v>
      </c>
      <c r="B11" t="s">
        <v>228</v>
      </c>
      <c r="C11" t="s">
        <v>229</v>
      </c>
      <c r="D11">
        <v>2015</v>
      </c>
      <c r="E11" t="s">
        <v>23</v>
      </c>
      <c r="F11" t="s">
        <v>95</v>
      </c>
      <c r="G11" t="s">
        <v>24</v>
      </c>
      <c r="H11" t="s">
        <v>567</v>
      </c>
      <c r="I11" t="s">
        <v>118</v>
      </c>
      <c r="J11">
        <f t="shared" si="0"/>
        <v>23</v>
      </c>
      <c r="K11" t="str">
        <f t="shared" si="1"/>
        <v>Out</v>
      </c>
      <c r="L11" t="s">
        <v>588</v>
      </c>
      <c r="M11" t="s">
        <v>444</v>
      </c>
      <c r="N11" t="s">
        <v>589</v>
      </c>
      <c r="O11" t="s">
        <v>95</v>
      </c>
      <c r="P11" t="s">
        <v>55</v>
      </c>
      <c r="Q11" t="s">
        <v>32</v>
      </c>
      <c r="R11" t="s">
        <v>32</v>
      </c>
      <c r="S11" t="s">
        <v>32</v>
      </c>
    </row>
    <row r="12" spans="1:19" x14ac:dyDescent="0.3">
      <c r="A12" t="s">
        <v>488</v>
      </c>
      <c r="B12" t="s">
        <v>489</v>
      </c>
      <c r="C12" t="s">
        <v>490</v>
      </c>
      <c r="D12">
        <v>2015</v>
      </c>
      <c r="E12" t="s">
        <v>22</v>
      </c>
      <c r="F12" t="s">
        <v>95</v>
      </c>
      <c r="G12" t="s">
        <v>24</v>
      </c>
      <c r="H12" t="s">
        <v>402</v>
      </c>
      <c r="I12" t="s">
        <v>189</v>
      </c>
      <c r="J12">
        <f t="shared" si="0"/>
        <v>21</v>
      </c>
      <c r="K12" t="str">
        <f t="shared" si="1"/>
        <v>Not Out</v>
      </c>
      <c r="L12" t="s">
        <v>590</v>
      </c>
      <c r="M12" t="s">
        <v>31</v>
      </c>
      <c r="N12" t="s">
        <v>591</v>
      </c>
      <c r="O12" t="s">
        <v>55</v>
      </c>
      <c r="P12" t="s">
        <v>44</v>
      </c>
      <c r="Q12" t="s">
        <v>44</v>
      </c>
      <c r="R12" t="s">
        <v>32</v>
      </c>
      <c r="S12" t="s">
        <v>32</v>
      </c>
    </row>
    <row r="13" spans="1:19" x14ac:dyDescent="0.3">
      <c r="A13" t="s">
        <v>592</v>
      </c>
      <c r="B13" t="s">
        <v>593</v>
      </c>
      <c r="C13" t="s">
        <v>594</v>
      </c>
      <c r="D13">
        <v>2015</v>
      </c>
      <c r="E13" t="s">
        <v>44</v>
      </c>
      <c r="F13" t="s">
        <v>55</v>
      </c>
      <c r="G13" t="s">
        <v>55</v>
      </c>
      <c r="H13" t="s">
        <v>44</v>
      </c>
      <c r="I13" t="s">
        <v>233</v>
      </c>
      <c r="J13">
        <f t="shared" si="0"/>
        <v>2</v>
      </c>
      <c r="K13" t="str">
        <f t="shared" si="1"/>
        <v>Not Out</v>
      </c>
      <c r="L13" t="s">
        <v>157</v>
      </c>
      <c r="M13" t="s">
        <v>44</v>
      </c>
      <c r="N13" t="s">
        <v>232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550</v>
      </c>
      <c r="B14" t="s">
        <v>551</v>
      </c>
      <c r="C14" t="s">
        <v>552</v>
      </c>
      <c r="D14">
        <v>2015</v>
      </c>
      <c r="E14" t="s">
        <v>22</v>
      </c>
      <c r="F14" t="s">
        <v>36</v>
      </c>
      <c r="G14" t="s">
        <v>24</v>
      </c>
      <c r="H14" t="s">
        <v>55</v>
      </c>
      <c r="I14" t="s">
        <v>239</v>
      </c>
      <c r="J14">
        <f t="shared" si="0"/>
        <v>1</v>
      </c>
      <c r="K14" t="str">
        <f t="shared" si="1"/>
        <v>Not Out</v>
      </c>
      <c r="L14" t="s">
        <v>142</v>
      </c>
      <c r="M14" t="s">
        <v>143</v>
      </c>
      <c r="N14" t="s">
        <v>144</v>
      </c>
      <c r="O14" t="s">
        <v>32</v>
      </c>
      <c r="P14" t="s">
        <v>32</v>
      </c>
      <c r="Q14" t="s">
        <v>55</v>
      </c>
      <c r="R14" t="s">
        <v>32</v>
      </c>
      <c r="S14" t="s">
        <v>32</v>
      </c>
    </row>
    <row r="15" spans="1:19" x14ac:dyDescent="0.3">
      <c r="A15" t="s">
        <v>553</v>
      </c>
      <c r="B15" t="s">
        <v>554</v>
      </c>
      <c r="C15" t="s">
        <v>555</v>
      </c>
      <c r="D15">
        <v>2015</v>
      </c>
      <c r="E15" t="s">
        <v>59</v>
      </c>
      <c r="F15" t="s">
        <v>157</v>
      </c>
      <c r="G15" t="s">
        <v>157</v>
      </c>
      <c r="H15" t="s">
        <v>157</v>
      </c>
      <c r="I15" t="s">
        <v>157</v>
      </c>
      <c r="J15" t="str">
        <f t="shared" si="0"/>
        <v>-</v>
      </c>
      <c r="K15" t="str">
        <f t="shared" si="1"/>
        <v>-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1"/>
  <sheetViews>
    <sheetView topLeftCell="B1"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595</v>
      </c>
      <c r="B2" t="s">
        <v>596</v>
      </c>
      <c r="C2" t="s">
        <v>597</v>
      </c>
      <c r="D2">
        <v>2018</v>
      </c>
      <c r="E2" t="s">
        <v>22</v>
      </c>
      <c r="F2" t="s">
        <v>22</v>
      </c>
      <c r="G2" t="s">
        <v>44</v>
      </c>
      <c r="H2" t="s">
        <v>598</v>
      </c>
      <c r="I2" t="s">
        <v>434</v>
      </c>
      <c r="J2">
        <f t="shared" ref="J2:J21" si="0">IF(I2="-", "-", VALUE(SUBSTITUTE(I2,"*","")))</f>
        <v>100</v>
      </c>
      <c r="K2" t="str">
        <f t="shared" ref="K2:K21" si="1">IF(I2="-", "-", IF(ISNUMBER(FIND("*", I2)), "Not Out", "Out"))</f>
        <v>Not Out</v>
      </c>
      <c r="L2" t="s">
        <v>599</v>
      </c>
      <c r="M2" t="s">
        <v>600</v>
      </c>
      <c r="N2" t="s">
        <v>601</v>
      </c>
      <c r="O2" t="s">
        <v>202</v>
      </c>
      <c r="P2" t="s">
        <v>323</v>
      </c>
      <c r="Q2" t="s">
        <v>55</v>
      </c>
      <c r="R2" t="s">
        <v>24</v>
      </c>
      <c r="S2" t="s">
        <v>55</v>
      </c>
    </row>
    <row r="3" spans="1:19" x14ac:dyDescent="0.3">
      <c r="A3" t="s">
        <v>602</v>
      </c>
      <c r="B3" t="s">
        <v>603</v>
      </c>
      <c r="C3" t="s">
        <v>604</v>
      </c>
      <c r="D3">
        <v>2018</v>
      </c>
      <c r="E3" t="s">
        <v>43</v>
      </c>
      <c r="F3" t="s">
        <v>43</v>
      </c>
      <c r="G3" t="s">
        <v>55</v>
      </c>
      <c r="H3" t="s">
        <v>605</v>
      </c>
      <c r="I3" t="s">
        <v>606</v>
      </c>
      <c r="J3">
        <f t="shared" si="0"/>
        <v>117</v>
      </c>
      <c r="K3" t="str">
        <f t="shared" si="1"/>
        <v>Not Out</v>
      </c>
      <c r="L3" t="s">
        <v>607</v>
      </c>
      <c r="M3" t="s">
        <v>503</v>
      </c>
      <c r="N3" t="s">
        <v>608</v>
      </c>
      <c r="O3" t="s">
        <v>278</v>
      </c>
      <c r="P3" t="s">
        <v>30</v>
      </c>
      <c r="Q3" t="s">
        <v>55</v>
      </c>
      <c r="R3" t="s">
        <v>44</v>
      </c>
      <c r="S3" t="s">
        <v>44</v>
      </c>
    </row>
    <row r="4" spans="1:19" x14ac:dyDescent="0.3">
      <c r="A4" t="s">
        <v>33</v>
      </c>
      <c r="B4" t="s">
        <v>34</v>
      </c>
      <c r="C4" t="s">
        <v>35</v>
      </c>
      <c r="D4">
        <v>2018</v>
      </c>
      <c r="E4" t="s">
        <v>22</v>
      </c>
      <c r="F4" t="s">
        <v>43</v>
      </c>
      <c r="G4" t="s">
        <v>108</v>
      </c>
      <c r="H4" t="s">
        <v>609</v>
      </c>
      <c r="I4" t="s">
        <v>610</v>
      </c>
      <c r="J4">
        <f t="shared" si="0"/>
        <v>79</v>
      </c>
      <c r="K4" t="str">
        <f t="shared" si="1"/>
        <v>Not Out</v>
      </c>
      <c r="L4" t="s">
        <v>611</v>
      </c>
      <c r="M4" t="s">
        <v>49</v>
      </c>
      <c r="N4" t="s">
        <v>612</v>
      </c>
      <c r="O4" t="s">
        <v>94</v>
      </c>
      <c r="P4" t="s">
        <v>214</v>
      </c>
      <c r="Q4" t="s">
        <v>32</v>
      </c>
      <c r="R4" t="s">
        <v>24</v>
      </c>
      <c r="S4" t="s">
        <v>32</v>
      </c>
    </row>
    <row r="5" spans="1:19" x14ac:dyDescent="0.3">
      <c r="A5" t="s">
        <v>19</v>
      </c>
      <c r="B5" t="s">
        <v>20</v>
      </c>
      <c r="C5" t="s">
        <v>21</v>
      </c>
      <c r="D5">
        <v>2018</v>
      </c>
      <c r="E5" t="s">
        <v>43</v>
      </c>
      <c r="F5" t="s">
        <v>43</v>
      </c>
      <c r="G5" t="s">
        <v>24</v>
      </c>
      <c r="H5" t="s">
        <v>613</v>
      </c>
      <c r="I5" t="s">
        <v>614</v>
      </c>
      <c r="J5">
        <f t="shared" si="0"/>
        <v>75</v>
      </c>
      <c r="K5" t="str">
        <f t="shared" si="1"/>
        <v>Not Out</v>
      </c>
      <c r="L5" t="s">
        <v>615</v>
      </c>
      <c r="M5" t="s">
        <v>393</v>
      </c>
      <c r="N5" t="s">
        <v>616</v>
      </c>
      <c r="O5" t="s">
        <v>465</v>
      </c>
      <c r="P5" t="s">
        <v>104</v>
      </c>
      <c r="Q5" t="s">
        <v>32</v>
      </c>
      <c r="R5" t="s">
        <v>36</v>
      </c>
      <c r="S5" t="s">
        <v>32</v>
      </c>
    </row>
    <row r="6" spans="1:19" x14ac:dyDescent="0.3">
      <c r="A6" t="s">
        <v>375</v>
      </c>
      <c r="B6" t="s">
        <v>376</v>
      </c>
      <c r="C6" t="s">
        <v>377</v>
      </c>
      <c r="D6">
        <v>2018</v>
      </c>
      <c r="E6" t="s">
        <v>95</v>
      </c>
      <c r="F6" t="s">
        <v>95</v>
      </c>
      <c r="G6" t="s">
        <v>55</v>
      </c>
      <c r="H6" t="s">
        <v>617</v>
      </c>
      <c r="I6" t="s">
        <v>440</v>
      </c>
      <c r="J6">
        <f t="shared" si="0"/>
        <v>67</v>
      </c>
      <c r="K6" t="str">
        <f t="shared" si="1"/>
        <v>Not Out</v>
      </c>
      <c r="L6" t="s">
        <v>618</v>
      </c>
      <c r="M6" t="s">
        <v>619</v>
      </c>
      <c r="N6" t="s">
        <v>620</v>
      </c>
      <c r="O6" t="s">
        <v>297</v>
      </c>
      <c r="P6" t="s">
        <v>95</v>
      </c>
      <c r="Q6" t="s">
        <v>32</v>
      </c>
      <c r="R6" t="s">
        <v>55</v>
      </c>
      <c r="S6" t="s">
        <v>32</v>
      </c>
    </row>
    <row r="7" spans="1:19" x14ac:dyDescent="0.3">
      <c r="A7" t="s">
        <v>352</v>
      </c>
      <c r="B7" t="s">
        <v>353</v>
      </c>
      <c r="C7" t="s">
        <v>354</v>
      </c>
      <c r="D7">
        <v>2018</v>
      </c>
      <c r="E7" t="s">
        <v>22</v>
      </c>
      <c r="F7" t="s">
        <v>59</v>
      </c>
      <c r="G7" t="s">
        <v>95</v>
      </c>
      <c r="H7" t="s">
        <v>621</v>
      </c>
      <c r="I7" t="s">
        <v>347</v>
      </c>
      <c r="J7">
        <f t="shared" si="0"/>
        <v>68</v>
      </c>
      <c r="K7" t="str">
        <f t="shared" si="1"/>
        <v>Out</v>
      </c>
      <c r="L7" t="s">
        <v>622</v>
      </c>
      <c r="M7" t="s">
        <v>623</v>
      </c>
      <c r="N7" t="s">
        <v>624</v>
      </c>
      <c r="O7" t="s">
        <v>85</v>
      </c>
      <c r="P7" t="s">
        <v>59</v>
      </c>
      <c r="Q7" t="s">
        <v>55</v>
      </c>
      <c r="R7" t="s">
        <v>55</v>
      </c>
      <c r="S7" t="s">
        <v>32</v>
      </c>
    </row>
    <row r="8" spans="1:19" x14ac:dyDescent="0.3">
      <c r="A8" t="s">
        <v>625</v>
      </c>
      <c r="B8" t="s">
        <v>626</v>
      </c>
      <c r="C8" t="s">
        <v>627</v>
      </c>
      <c r="D8">
        <v>2018</v>
      </c>
      <c r="E8" t="s">
        <v>59</v>
      </c>
      <c r="F8" t="s">
        <v>85</v>
      </c>
      <c r="G8" t="s">
        <v>32</v>
      </c>
      <c r="H8" t="s">
        <v>628</v>
      </c>
      <c r="I8" t="s">
        <v>398</v>
      </c>
      <c r="J8">
        <f t="shared" si="0"/>
        <v>56</v>
      </c>
      <c r="K8" t="str">
        <f t="shared" si="1"/>
        <v>Out</v>
      </c>
      <c r="L8" t="s">
        <v>629</v>
      </c>
      <c r="M8" t="s">
        <v>630</v>
      </c>
      <c r="N8" t="s">
        <v>631</v>
      </c>
      <c r="O8" t="s">
        <v>85</v>
      </c>
      <c r="P8" t="s">
        <v>78</v>
      </c>
      <c r="Q8" t="s">
        <v>55</v>
      </c>
      <c r="R8" t="s">
        <v>55</v>
      </c>
      <c r="S8" t="s">
        <v>32</v>
      </c>
    </row>
    <row r="9" spans="1:19" x14ac:dyDescent="0.3">
      <c r="A9" t="s">
        <v>406</v>
      </c>
      <c r="B9" t="s">
        <v>407</v>
      </c>
      <c r="C9" t="s">
        <v>408</v>
      </c>
      <c r="D9">
        <v>2018</v>
      </c>
      <c r="E9" t="s">
        <v>22</v>
      </c>
      <c r="F9" t="s">
        <v>59</v>
      </c>
      <c r="G9" t="s">
        <v>78</v>
      </c>
      <c r="H9" t="s">
        <v>159</v>
      </c>
      <c r="I9" t="s">
        <v>632</v>
      </c>
      <c r="J9">
        <f t="shared" si="0"/>
        <v>27</v>
      </c>
      <c r="K9" t="str">
        <f t="shared" si="1"/>
        <v>Not Out</v>
      </c>
      <c r="L9" t="s">
        <v>633</v>
      </c>
      <c r="M9" t="s">
        <v>342</v>
      </c>
      <c r="N9" t="s">
        <v>634</v>
      </c>
      <c r="O9" t="s">
        <v>24</v>
      </c>
      <c r="P9" t="s">
        <v>36</v>
      </c>
      <c r="Q9" t="s">
        <v>32</v>
      </c>
      <c r="R9" t="s">
        <v>32</v>
      </c>
      <c r="S9" t="s">
        <v>32</v>
      </c>
    </row>
    <row r="10" spans="1:19" x14ac:dyDescent="0.3">
      <c r="A10" t="s">
        <v>635</v>
      </c>
      <c r="B10" t="s">
        <v>636</v>
      </c>
      <c r="C10" t="s">
        <v>637</v>
      </c>
      <c r="D10">
        <v>2018</v>
      </c>
      <c r="E10" t="s">
        <v>104</v>
      </c>
      <c r="F10" t="s">
        <v>36</v>
      </c>
      <c r="G10" t="s">
        <v>55</v>
      </c>
      <c r="H10" t="s">
        <v>438</v>
      </c>
      <c r="I10" t="s">
        <v>216</v>
      </c>
      <c r="J10">
        <f t="shared" si="0"/>
        <v>39</v>
      </c>
      <c r="K10" t="str">
        <f t="shared" si="1"/>
        <v>Out</v>
      </c>
      <c r="L10" t="s">
        <v>638</v>
      </c>
      <c r="M10" t="s">
        <v>382</v>
      </c>
      <c r="N10" t="s">
        <v>639</v>
      </c>
      <c r="O10" t="s">
        <v>55</v>
      </c>
      <c r="P10" t="s">
        <v>36</v>
      </c>
      <c r="Q10" t="s">
        <v>55</v>
      </c>
      <c r="R10" t="s">
        <v>32</v>
      </c>
      <c r="S10" t="s">
        <v>32</v>
      </c>
    </row>
    <row r="11" spans="1:19" x14ac:dyDescent="0.3">
      <c r="A11" t="s">
        <v>640</v>
      </c>
      <c r="B11" t="s">
        <v>641</v>
      </c>
      <c r="C11" t="s">
        <v>641</v>
      </c>
      <c r="D11">
        <v>2018</v>
      </c>
      <c r="E11" t="s">
        <v>48</v>
      </c>
      <c r="F11" t="s">
        <v>24</v>
      </c>
      <c r="G11" t="s">
        <v>32</v>
      </c>
      <c r="H11" t="s">
        <v>382</v>
      </c>
      <c r="I11" t="s">
        <v>187</v>
      </c>
      <c r="J11">
        <f t="shared" si="0"/>
        <v>19</v>
      </c>
      <c r="K11" t="str">
        <f t="shared" si="1"/>
        <v>Out</v>
      </c>
      <c r="L11" t="s">
        <v>642</v>
      </c>
      <c r="M11" t="s">
        <v>183</v>
      </c>
      <c r="N11" t="s">
        <v>643</v>
      </c>
      <c r="O11" t="s">
        <v>24</v>
      </c>
      <c r="P11" t="s">
        <v>55</v>
      </c>
      <c r="Q11" t="s">
        <v>32</v>
      </c>
      <c r="R11" t="s">
        <v>32</v>
      </c>
      <c r="S11" t="s">
        <v>32</v>
      </c>
    </row>
    <row r="12" spans="1:19" x14ac:dyDescent="0.3">
      <c r="A12" t="s">
        <v>644</v>
      </c>
      <c r="B12" t="s">
        <v>645</v>
      </c>
      <c r="C12" t="s">
        <v>646</v>
      </c>
      <c r="D12">
        <v>2018</v>
      </c>
      <c r="E12" t="s">
        <v>55</v>
      </c>
      <c r="F12" t="s">
        <v>55</v>
      </c>
      <c r="G12" t="s">
        <v>55</v>
      </c>
      <c r="H12" t="s">
        <v>94</v>
      </c>
      <c r="I12" t="s">
        <v>647</v>
      </c>
      <c r="J12">
        <f t="shared" si="0"/>
        <v>24</v>
      </c>
      <c r="K12" t="str">
        <f t="shared" si="1"/>
        <v>Not Out</v>
      </c>
      <c r="L12" t="s">
        <v>157</v>
      </c>
      <c r="M12" t="s">
        <v>164</v>
      </c>
      <c r="N12" t="s">
        <v>449</v>
      </c>
      <c r="O12" t="s">
        <v>55</v>
      </c>
      <c r="P12" t="s">
        <v>44</v>
      </c>
      <c r="Q12" t="s">
        <v>32</v>
      </c>
      <c r="R12" t="s">
        <v>32</v>
      </c>
      <c r="S12" t="s">
        <v>32</v>
      </c>
    </row>
    <row r="13" spans="1:19" x14ac:dyDescent="0.3">
      <c r="A13" t="s">
        <v>648</v>
      </c>
      <c r="B13" t="s">
        <v>649</v>
      </c>
      <c r="C13" t="s">
        <v>650</v>
      </c>
      <c r="D13">
        <v>2018</v>
      </c>
      <c r="E13" t="s">
        <v>48</v>
      </c>
      <c r="F13" t="s">
        <v>55</v>
      </c>
      <c r="G13" t="s">
        <v>55</v>
      </c>
      <c r="H13" t="s">
        <v>43</v>
      </c>
      <c r="I13" t="s">
        <v>116</v>
      </c>
      <c r="J13">
        <f t="shared" si="0"/>
        <v>15</v>
      </c>
      <c r="K13" t="str">
        <f t="shared" si="1"/>
        <v>Not Out</v>
      </c>
      <c r="L13" t="s">
        <v>157</v>
      </c>
      <c r="M13" t="s">
        <v>78</v>
      </c>
      <c r="N13" t="s">
        <v>651</v>
      </c>
      <c r="O13" t="s">
        <v>24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204</v>
      </c>
      <c r="B14" t="s">
        <v>205</v>
      </c>
      <c r="C14" t="s">
        <v>206</v>
      </c>
      <c r="D14">
        <v>2018</v>
      </c>
      <c r="E14" t="s">
        <v>55</v>
      </c>
      <c r="F14" t="s">
        <v>55</v>
      </c>
      <c r="G14" t="s">
        <v>32</v>
      </c>
      <c r="H14" t="s">
        <v>104</v>
      </c>
      <c r="I14" t="s">
        <v>104</v>
      </c>
      <c r="J14">
        <f t="shared" si="0"/>
        <v>12</v>
      </c>
      <c r="K14" t="str">
        <f t="shared" si="1"/>
        <v>Out</v>
      </c>
      <c r="L14" t="s">
        <v>652</v>
      </c>
      <c r="M14" t="s">
        <v>59</v>
      </c>
      <c r="N14" t="s">
        <v>419</v>
      </c>
      <c r="O14" t="s">
        <v>32</v>
      </c>
      <c r="P14" t="s">
        <v>55</v>
      </c>
      <c r="Q14" t="s">
        <v>32</v>
      </c>
      <c r="R14" t="s">
        <v>32</v>
      </c>
      <c r="S14" t="s">
        <v>32</v>
      </c>
    </row>
    <row r="15" spans="1:19" x14ac:dyDescent="0.3">
      <c r="A15" t="s">
        <v>653</v>
      </c>
      <c r="B15" t="s">
        <v>654</v>
      </c>
      <c r="C15" t="s">
        <v>655</v>
      </c>
      <c r="D15">
        <v>2018</v>
      </c>
      <c r="E15" t="s">
        <v>55</v>
      </c>
      <c r="F15" t="s">
        <v>55</v>
      </c>
      <c r="G15" t="s">
        <v>32</v>
      </c>
      <c r="H15" t="s">
        <v>85</v>
      </c>
      <c r="I15" t="s">
        <v>85</v>
      </c>
      <c r="J15">
        <f t="shared" si="0"/>
        <v>8</v>
      </c>
      <c r="K15" t="str">
        <f t="shared" si="1"/>
        <v>Out</v>
      </c>
      <c r="L15" t="s">
        <v>127</v>
      </c>
      <c r="M15" t="s">
        <v>108</v>
      </c>
      <c r="N15" t="s">
        <v>656</v>
      </c>
      <c r="O15" t="s">
        <v>32</v>
      </c>
      <c r="P15" t="s">
        <v>55</v>
      </c>
      <c r="Q15" t="s">
        <v>32</v>
      </c>
      <c r="R15" t="s">
        <v>32</v>
      </c>
      <c r="S15" t="s">
        <v>32</v>
      </c>
    </row>
    <row r="16" spans="1:19" x14ac:dyDescent="0.3">
      <c r="A16" t="s">
        <v>657</v>
      </c>
      <c r="B16" t="s">
        <v>658</v>
      </c>
      <c r="C16" t="s">
        <v>658</v>
      </c>
      <c r="D16">
        <v>2018</v>
      </c>
      <c r="E16" t="s">
        <v>95</v>
      </c>
      <c r="F16" t="s">
        <v>55</v>
      </c>
      <c r="G16" t="s">
        <v>55</v>
      </c>
      <c r="H16" t="s">
        <v>44</v>
      </c>
      <c r="I16" t="s">
        <v>233</v>
      </c>
      <c r="J16">
        <f t="shared" si="0"/>
        <v>2</v>
      </c>
      <c r="K16" t="str">
        <f t="shared" si="1"/>
        <v>Not Out</v>
      </c>
      <c r="L16" t="s">
        <v>157</v>
      </c>
      <c r="M16" t="s">
        <v>44</v>
      </c>
      <c r="N16" t="s">
        <v>232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</row>
    <row r="17" spans="1:19" x14ac:dyDescent="0.3">
      <c r="A17" t="s">
        <v>659</v>
      </c>
      <c r="B17" t="s">
        <v>660</v>
      </c>
      <c r="C17" t="s">
        <v>661</v>
      </c>
      <c r="D17">
        <v>2018</v>
      </c>
      <c r="E17" t="s">
        <v>55</v>
      </c>
      <c r="F17" t="s">
        <v>55</v>
      </c>
      <c r="G17" t="s">
        <v>32</v>
      </c>
      <c r="H17" t="s">
        <v>55</v>
      </c>
      <c r="I17" t="s">
        <v>55</v>
      </c>
      <c r="J17">
        <f t="shared" si="0"/>
        <v>1</v>
      </c>
      <c r="K17" t="str">
        <f t="shared" si="1"/>
        <v>Out</v>
      </c>
      <c r="L17" t="s">
        <v>142</v>
      </c>
      <c r="M17" t="s">
        <v>24</v>
      </c>
      <c r="N17" t="s">
        <v>305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</row>
    <row r="18" spans="1:19" x14ac:dyDescent="0.3">
      <c r="A18" t="s">
        <v>662</v>
      </c>
      <c r="B18" t="s">
        <v>663</v>
      </c>
      <c r="C18" t="s">
        <v>664</v>
      </c>
      <c r="D18">
        <v>2018</v>
      </c>
      <c r="E18" t="s">
        <v>95</v>
      </c>
      <c r="F18" t="s">
        <v>55</v>
      </c>
      <c r="G18" t="s">
        <v>55</v>
      </c>
      <c r="H18" t="s">
        <v>32</v>
      </c>
      <c r="I18" t="s">
        <v>244</v>
      </c>
      <c r="J18">
        <f t="shared" si="0"/>
        <v>0</v>
      </c>
      <c r="K18" t="str">
        <f t="shared" si="1"/>
        <v>Not Out</v>
      </c>
      <c r="L18" t="s">
        <v>157</v>
      </c>
      <c r="M18" t="s">
        <v>32</v>
      </c>
      <c r="N18" t="s">
        <v>157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</row>
    <row r="19" spans="1:19" x14ac:dyDescent="0.3">
      <c r="A19" t="s">
        <v>665</v>
      </c>
      <c r="B19" t="s">
        <v>666</v>
      </c>
      <c r="C19" t="s">
        <v>667</v>
      </c>
      <c r="D19">
        <v>2018</v>
      </c>
      <c r="E19" t="s">
        <v>44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  <row r="20" spans="1:19" x14ac:dyDescent="0.3">
      <c r="A20" t="s">
        <v>668</v>
      </c>
      <c r="B20" t="s">
        <v>669</v>
      </c>
      <c r="C20" t="s">
        <v>670</v>
      </c>
      <c r="D20">
        <v>2018</v>
      </c>
      <c r="E20" t="s">
        <v>143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  <row r="21" spans="1:19" x14ac:dyDescent="0.3">
      <c r="A21" t="s">
        <v>671</v>
      </c>
      <c r="B21" t="s">
        <v>672</v>
      </c>
      <c r="C21" t="s">
        <v>673</v>
      </c>
      <c r="D21">
        <v>2018</v>
      </c>
      <c r="E21" t="s">
        <v>24</v>
      </c>
      <c r="F21" t="s">
        <v>157</v>
      </c>
      <c r="G21" t="s">
        <v>157</v>
      </c>
      <c r="H21" t="s">
        <v>157</v>
      </c>
      <c r="I21" t="s">
        <v>157</v>
      </c>
      <c r="J21" t="str">
        <f t="shared" si="0"/>
        <v>-</v>
      </c>
      <c r="K21" t="str">
        <f t="shared" si="1"/>
        <v>-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</row>
  </sheetData>
  <pageMargins left="0.75" right="0.75" top="1" bottom="1" header="0.5" footer="0.5"/>
  <ignoredErrors>
    <ignoredError sqref="A2:S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0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4.69921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33</v>
      </c>
      <c r="B2" t="s">
        <v>34</v>
      </c>
      <c r="C2" t="s">
        <v>35</v>
      </c>
      <c r="D2">
        <v>2019</v>
      </c>
      <c r="E2" t="s">
        <v>43</v>
      </c>
      <c r="F2" t="s">
        <v>104</v>
      </c>
      <c r="G2" t="s">
        <v>143</v>
      </c>
      <c r="H2" t="s">
        <v>498</v>
      </c>
      <c r="I2" t="s">
        <v>674</v>
      </c>
      <c r="J2">
        <f t="shared" ref="J2:J20" si="0">IF(I2="-", "-", VALUE(SUBSTITUTE(I2,"*","")))</f>
        <v>84</v>
      </c>
      <c r="K2" t="str">
        <f t="shared" ref="K2:K20" si="1">IF(I2="-", "-", IF(ISNUMBER(FIND("*", I2)), "Not Out", "Out"))</f>
        <v>Not Out</v>
      </c>
      <c r="L2" t="s">
        <v>675</v>
      </c>
      <c r="M2" t="s">
        <v>676</v>
      </c>
      <c r="N2" t="s">
        <v>677</v>
      </c>
      <c r="O2" t="s">
        <v>164</v>
      </c>
      <c r="P2" t="s">
        <v>118</v>
      </c>
      <c r="Q2" t="s">
        <v>32</v>
      </c>
      <c r="R2" t="s">
        <v>24</v>
      </c>
      <c r="S2" t="s">
        <v>32</v>
      </c>
    </row>
    <row r="3" spans="1:19" x14ac:dyDescent="0.3">
      <c r="A3" t="s">
        <v>602</v>
      </c>
      <c r="B3" t="s">
        <v>603</v>
      </c>
      <c r="C3" t="s">
        <v>604</v>
      </c>
      <c r="D3">
        <v>2019</v>
      </c>
      <c r="E3" t="s">
        <v>297</v>
      </c>
      <c r="F3" t="s">
        <v>297</v>
      </c>
      <c r="G3" t="s">
        <v>32</v>
      </c>
      <c r="H3" t="s">
        <v>378</v>
      </c>
      <c r="I3" t="s">
        <v>678</v>
      </c>
      <c r="J3">
        <f t="shared" si="0"/>
        <v>96</v>
      </c>
      <c r="K3" t="str">
        <f t="shared" si="1"/>
        <v>Out</v>
      </c>
      <c r="L3" t="s">
        <v>679</v>
      </c>
      <c r="M3" t="s">
        <v>445</v>
      </c>
      <c r="N3" t="s">
        <v>680</v>
      </c>
      <c r="O3" t="s">
        <v>54</v>
      </c>
      <c r="P3" t="s">
        <v>181</v>
      </c>
      <c r="Q3" t="s">
        <v>24</v>
      </c>
      <c r="R3" t="s">
        <v>24</v>
      </c>
      <c r="S3" t="s">
        <v>32</v>
      </c>
    </row>
    <row r="4" spans="1:19" x14ac:dyDescent="0.3">
      <c r="A4" t="s">
        <v>375</v>
      </c>
      <c r="B4" t="s">
        <v>376</v>
      </c>
      <c r="C4" t="s">
        <v>377</v>
      </c>
      <c r="D4">
        <v>2019</v>
      </c>
      <c r="E4" t="s">
        <v>104</v>
      </c>
      <c r="F4" t="s">
        <v>104</v>
      </c>
      <c r="G4" t="s">
        <v>55</v>
      </c>
      <c r="H4" t="s">
        <v>324</v>
      </c>
      <c r="I4" t="s">
        <v>678</v>
      </c>
      <c r="J4">
        <f t="shared" si="0"/>
        <v>96</v>
      </c>
      <c r="K4" t="str">
        <f t="shared" si="1"/>
        <v>Out</v>
      </c>
      <c r="L4" t="s">
        <v>681</v>
      </c>
      <c r="M4" t="s">
        <v>682</v>
      </c>
      <c r="N4" t="s">
        <v>683</v>
      </c>
      <c r="O4" t="s">
        <v>183</v>
      </c>
      <c r="P4" t="s">
        <v>43</v>
      </c>
      <c r="Q4" t="s">
        <v>32</v>
      </c>
      <c r="R4" t="s">
        <v>24</v>
      </c>
      <c r="S4" t="s">
        <v>32</v>
      </c>
    </row>
    <row r="5" spans="1:19" x14ac:dyDescent="0.3">
      <c r="A5" t="s">
        <v>19</v>
      </c>
      <c r="B5" t="s">
        <v>20</v>
      </c>
      <c r="C5" t="s">
        <v>21</v>
      </c>
      <c r="D5">
        <v>2019</v>
      </c>
      <c r="E5" t="s">
        <v>297</v>
      </c>
      <c r="F5" t="s">
        <v>297</v>
      </c>
      <c r="G5" t="s">
        <v>55</v>
      </c>
      <c r="H5" t="s">
        <v>684</v>
      </c>
      <c r="I5" t="s">
        <v>685</v>
      </c>
      <c r="J5">
        <f t="shared" si="0"/>
        <v>59</v>
      </c>
      <c r="K5" t="str">
        <f t="shared" si="1"/>
        <v>Out</v>
      </c>
      <c r="L5" t="s">
        <v>686</v>
      </c>
      <c r="M5" t="s">
        <v>687</v>
      </c>
      <c r="N5" t="s">
        <v>688</v>
      </c>
      <c r="O5" t="s">
        <v>69</v>
      </c>
      <c r="P5" t="s">
        <v>108</v>
      </c>
      <c r="Q5" t="s">
        <v>55</v>
      </c>
      <c r="R5" t="s">
        <v>24</v>
      </c>
      <c r="S5" t="s">
        <v>32</v>
      </c>
    </row>
    <row r="6" spans="1:19" x14ac:dyDescent="0.3">
      <c r="A6" t="s">
        <v>595</v>
      </c>
      <c r="B6" t="s">
        <v>596</v>
      </c>
      <c r="C6" t="s">
        <v>597</v>
      </c>
      <c r="D6">
        <v>2019</v>
      </c>
      <c r="E6" t="s">
        <v>297</v>
      </c>
      <c r="F6" t="s">
        <v>297</v>
      </c>
      <c r="G6" t="s">
        <v>78</v>
      </c>
      <c r="H6" t="s">
        <v>689</v>
      </c>
      <c r="I6" t="s">
        <v>274</v>
      </c>
      <c r="J6">
        <f t="shared" si="0"/>
        <v>57</v>
      </c>
      <c r="K6" t="str">
        <f t="shared" si="1"/>
        <v>Out</v>
      </c>
      <c r="L6" t="s">
        <v>690</v>
      </c>
      <c r="M6" t="s">
        <v>258</v>
      </c>
      <c r="N6" t="s">
        <v>691</v>
      </c>
      <c r="O6" t="s">
        <v>181</v>
      </c>
      <c r="P6" t="s">
        <v>143</v>
      </c>
      <c r="Q6" t="s">
        <v>44</v>
      </c>
      <c r="R6" t="s">
        <v>55</v>
      </c>
      <c r="S6" t="s">
        <v>32</v>
      </c>
    </row>
    <row r="7" spans="1:19" x14ac:dyDescent="0.3">
      <c r="A7" t="s">
        <v>644</v>
      </c>
      <c r="B7" t="s">
        <v>645</v>
      </c>
      <c r="C7" t="s">
        <v>646</v>
      </c>
      <c r="D7">
        <v>2019</v>
      </c>
      <c r="E7" t="s">
        <v>23</v>
      </c>
      <c r="F7" t="s">
        <v>104</v>
      </c>
      <c r="G7" t="s">
        <v>24</v>
      </c>
      <c r="H7" t="s">
        <v>617</v>
      </c>
      <c r="I7" t="s">
        <v>692</v>
      </c>
      <c r="J7">
        <f t="shared" si="0"/>
        <v>58</v>
      </c>
      <c r="K7" t="str">
        <f t="shared" si="1"/>
        <v>Out</v>
      </c>
      <c r="L7" t="s">
        <v>123</v>
      </c>
      <c r="M7" t="s">
        <v>693</v>
      </c>
      <c r="N7" t="s">
        <v>694</v>
      </c>
      <c r="O7" t="s">
        <v>187</v>
      </c>
      <c r="P7" t="s">
        <v>24</v>
      </c>
      <c r="Q7" t="s">
        <v>55</v>
      </c>
      <c r="R7" t="s">
        <v>55</v>
      </c>
      <c r="S7" t="s">
        <v>32</v>
      </c>
    </row>
    <row r="8" spans="1:19" x14ac:dyDescent="0.3">
      <c r="A8" t="s">
        <v>406</v>
      </c>
      <c r="B8" t="s">
        <v>407</v>
      </c>
      <c r="C8" t="s">
        <v>408</v>
      </c>
      <c r="D8">
        <v>2019</v>
      </c>
      <c r="E8" t="s">
        <v>22</v>
      </c>
      <c r="F8" t="s">
        <v>108</v>
      </c>
      <c r="G8" t="s">
        <v>95</v>
      </c>
      <c r="H8" t="s">
        <v>461</v>
      </c>
      <c r="I8" t="s">
        <v>695</v>
      </c>
      <c r="J8">
        <f t="shared" si="0"/>
        <v>31</v>
      </c>
      <c r="K8" t="str">
        <f t="shared" si="1"/>
        <v>Not Out</v>
      </c>
      <c r="L8" t="s">
        <v>696</v>
      </c>
      <c r="M8" t="s">
        <v>193</v>
      </c>
      <c r="N8" t="s">
        <v>697</v>
      </c>
      <c r="O8" t="s">
        <v>143</v>
      </c>
      <c r="P8" t="s">
        <v>36</v>
      </c>
      <c r="Q8" t="s">
        <v>32</v>
      </c>
      <c r="R8" t="s">
        <v>32</v>
      </c>
      <c r="S8" t="s">
        <v>32</v>
      </c>
    </row>
    <row r="9" spans="1:19" x14ac:dyDescent="0.3">
      <c r="A9" t="s">
        <v>352</v>
      </c>
      <c r="B9" t="s">
        <v>353</v>
      </c>
      <c r="C9" t="s">
        <v>354</v>
      </c>
      <c r="D9">
        <v>2019</v>
      </c>
      <c r="E9" t="s">
        <v>104</v>
      </c>
      <c r="F9" t="s">
        <v>108</v>
      </c>
      <c r="G9" t="s">
        <v>36</v>
      </c>
      <c r="H9" t="s">
        <v>698</v>
      </c>
      <c r="I9" t="s">
        <v>73</v>
      </c>
      <c r="J9">
        <f t="shared" si="0"/>
        <v>27</v>
      </c>
      <c r="K9" t="str">
        <f t="shared" si="1"/>
        <v>Out</v>
      </c>
      <c r="L9" t="s">
        <v>699</v>
      </c>
      <c r="M9" t="s">
        <v>700</v>
      </c>
      <c r="N9" t="s">
        <v>701</v>
      </c>
      <c r="O9" t="s">
        <v>95</v>
      </c>
      <c r="P9" t="s">
        <v>24</v>
      </c>
      <c r="Q9" t="s">
        <v>32</v>
      </c>
      <c r="R9" t="s">
        <v>32</v>
      </c>
      <c r="S9" t="s">
        <v>32</v>
      </c>
    </row>
    <row r="10" spans="1:19" x14ac:dyDescent="0.3">
      <c r="A10" t="s">
        <v>204</v>
      </c>
      <c r="B10" t="s">
        <v>205</v>
      </c>
      <c r="C10" t="s">
        <v>206</v>
      </c>
      <c r="D10">
        <v>2019</v>
      </c>
      <c r="E10" t="s">
        <v>44</v>
      </c>
      <c r="F10" t="s">
        <v>44</v>
      </c>
      <c r="G10" t="s">
        <v>32</v>
      </c>
      <c r="H10" t="s">
        <v>80</v>
      </c>
      <c r="I10" t="s">
        <v>42</v>
      </c>
      <c r="J10">
        <f t="shared" si="0"/>
        <v>38</v>
      </c>
      <c r="K10" t="str">
        <f t="shared" si="1"/>
        <v>Out</v>
      </c>
      <c r="L10" t="s">
        <v>81</v>
      </c>
      <c r="M10" t="s">
        <v>702</v>
      </c>
      <c r="N10" t="s">
        <v>703</v>
      </c>
      <c r="O10" t="s">
        <v>95</v>
      </c>
      <c r="P10" t="s">
        <v>55</v>
      </c>
      <c r="Q10" t="s">
        <v>32</v>
      </c>
      <c r="R10" t="s">
        <v>32</v>
      </c>
      <c r="S10" t="s">
        <v>32</v>
      </c>
    </row>
    <row r="11" spans="1:19" x14ac:dyDescent="0.3">
      <c r="A11" t="s">
        <v>704</v>
      </c>
      <c r="B11" t="s">
        <v>705</v>
      </c>
      <c r="C11" t="s">
        <v>706</v>
      </c>
      <c r="D11">
        <v>2019</v>
      </c>
      <c r="E11" t="s">
        <v>36</v>
      </c>
      <c r="F11" t="s">
        <v>44</v>
      </c>
      <c r="G11" t="s">
        <v>55</v>
      </c>
      <c r="H11" t="s">
        <v>444</v>
      </c>
      <c r="I11" t="s">
        <v>164</v>
      </c>
      <c r="J11">
        <f t="shared" si="0"/>
        <v>22</v>
      </c>
      <c r="K11" t="str">
        <f t="shared" si="1"/>
        <v>Out</v>
      </c>
      <c r="L11" t="s">
        <v>81</v>
      </c>
      <c r="M11" t="s">
        <v>118</v>
      </c>
      <c r="N11" t="s">
        <v>707</v>
      </c>
      <c r="O11" t="s">
        <v>32</v>
      </c>
      <c r="P11" t="s">
        <v>24</v>
      </c>
      <c r="Q11" t="s">
        <v>32</v>
      </c>
      <c r="R11" t="s">
        <v>32</v>
      </c>
      <c r="S11" t="s">
        <v>32</v>
      </c>
    </row>
    <row r="12" spans="1:19" x14ac:dyDescent="0.3">
      <c r="A12" t="s">
        <v>648</v>
      </c>
      <c r="B12" t="s">
        <v>649</v>
      </c>
      <c r="C12" t="s">
        <v>650</v>
      </c>
      <c r="D12">
        <v>2019</v>
      </c>
      <c r="E12" t="s">
        <v>59</v>
      </c>
      <c r="F12" t="s">
        <v>24</v>
      </c>
      <c r="G12" t="s">
        <v>55</v>
      </c>
      <c r="H12" t="s">
        <v>23</v>
      </c>
      <c r="I12" t="s">
        <v>708</v>
      </c>
      <c r="J12">
        <f t="shared" si="0"/>
        <v>12</v>
      </c>
      <c r="K12" t="str">
        <f t="shared" si="1"/>
        <v>Not Out</v>
      </c>
      <c r="L12" t="s">
        <v>475</v>
      </c>
      <c r="M12" t="s">
        <v>143</v>
      </c>
      <c r="N12" t="s">
        <v>709</v>
      </c>
      <c r="O12" t="s">
        <v>55</v>
      </c>
      <c r="P12" t="s">
        <v>55</v>
      </c>
      <c r="Q12" t="s">
        <v>55</v>
      </c>
      <c r="R12" t="s">
        <v>32</v>
      </c>
      <c r="S12" t="s">
        <v>32</v>
      </c>
    </row>
    <row r="13" spans="1:19" x14ac:dyDescent="0.3">
      <c r="A13" t="s">
        <v>635</v>
      </c>
      <c r="B13" t="s">
        <v>636</v>
      </c>
      <c r="C13" t="s">
        <v>637</v>
      </c>
      <c r="D13">
        <v>2019</v>
      </c>
      <c r="E13" t="s">
        <v>297</v>
      </c>
      <c r="F13" t="s">
        <v>44</v>
      </c>
      <c r="G13" t="s">
        <v>32</v>
      </c>
      <c r="H13" t="s">
        <v>143</v>
      </c>
      <c r="I13" t="s">
        <v>143</v>
      </c>
      <c r="J13">
        <f t="shared" si="0"/>
        <v>7</v>
      </c>
      <c r="K13" t="str">
        <f t="shared" si="1"/>
        <v>Out</v>
      </c>
      <c r="L13" t="s">
        <v>710</v>
      </c>
      <c r="M13" t="s">
        <v>108</v>
      </c>
      <c r="N13" t="s">
        <v>711</v>
      </c>
      <c r="O13" t="s">
        <v>55</v>
      </c>
      <c r="P13" t="s">
        <v>32</v>
      </c>
      <c r="Q13" t="s">
        <v>55</v>
      </c>
      <c r="R13" t="s">
        <v>32</v>
      </c>
      <c r="S13" t="s">
        <v>32</v>
      </c>
    </row>
    <row r="14" spans="1:19" x14ac:dyDescent="0.3">
      <c r="A14" t="s">
        <v>653</v>
      </c>
      <c r="B14" t="s">
        <v>654</v>
      </c>
      <c r="C14" t="s">
        <v>655</v>
      </c>
      <c r="D14">
        <v>2019</v>
      </c>
      <c r="E14" t="s">
        <v>55</v>
      </c>
      <c r="F14" t="s">
        <v>55</v>
      </c>
      <c r="G14" t="s">
        <v>32</v>
      </c>
      <c r="H14" t="s">
        <v>78</v>
      </c>
      <c r="I14" t="s">
        <v>78</v>
      </c>
      <c r="J14">
        <f t="shared" si="0"/>
        <v>5</v>
      </c>
      <c r="K14" t="str">
        <f t="shared" si="1"/>
        <v>Out</v>
      </c>
      <c r="L14" t="s">
        <v>712</v>
      </c>
      <c r="M14" t="s">
        <v>85</v>
      </c>
      <c r="N14" t="s">
        <v>713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640</v>
      </c>
      <c r="B15" t="s">
        <v>641</v>
      </c>
      <c r="C15" t="s">
        <v>641</v>
      </c>
      <c r="D15">
        <v>2019</v>
      </c>
      <c r="E15" t="s">
        <v>77</v>
      </c>
      <c r="F15" t="s">
        <v>55</v>
      </c>
      <c r="G15" t="s">
        <v>32</v>
      </c>
      <c r="H15" t="s">
        <v>55</v>
      </c>
      <c r="I15" t="s">
        <v>55</v>
      </c>
      <c r="J15">
        <f t="shared" si="0"/>
        <v>1</v>
      </c>
      <c r="K15" t="str">
        <f t="shared" si="1"/>
        <v>Out</v>
      </c>
      <c r="L15" t="s">
        <v>142</v>
      </c>
      <c r="M15" t="s">
        <v>24</v>
      </c>
      <c r="N15" t="s">
        <v>305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625</v>
      </c>
      <c r="B16" t="s">
        <v>626</v>
      </c>
      <c r="C16" t="s">
        <v>627</v>
      </c>
      <c r="D16">
        <v>2019</v>
      </c>
      <c r="E16" t="s">
        <v>55</v>
      </c>
      <c r="F16" t="s">
        <v>55</v>
      </c>
      <c r="G16" t="s">
        <v>32</v>
      </c>
      <c r="H16" t="s">
        <v>32</v>
      </c>
      <c r="I16" t="s">
        <v>32</v>
      </c>
      <c r="J16">
        <f t="shared" si="0"/>
        <v>0</v>
      </c>
      <c r="K16" t="str">
        <f t="shared" si="1"/>
        <v>Out</v>
      </c>
      <c r="L16" t="s">
        <v>148</v>
      </c>
      <c r="M16" t="s">
        <v>36</v>
      </c>
      <c r="N16" t="s">
        <v>148</v>
      </c>
      <c r="O16" t="s">
        <v>32</v>
      </c>
      <c r="P16" t="s">
        <v>32</v>
      </c>
      <c r="Q16" t="s">
        <v>55</v>
      </c>
      <c r="R16" t="s">
        <v>32</v>
      </c>
      <c r="S16" t="s">
        <v>32</v>
      </c>
    </row>
    <row r="17" spans="1:19" x14ac:dyDescent="0.3">
      <c r="A17" t="s">
        <v>657</v>
      </c>
      <c r="B17" t="s">
        <v>658</v>
      </c>
      <c r="C17" t="s">
        <v>658</v>
      </c>
      <c r="D17">
        <v>2019</v>
      </c>
      <c r="E17" t="s">
        <v>297</v>
      </c>
      <c r="F17" t="s">
        <v>55</v>
      </c>
      <c r="G17" t="s">
        <v>55</v>
      </c>
      <c r="H17" t="s">
        <v>32</v>
      </c>
      <c r="I17" t="s">
        <v>244</v>
      </c>
      <c r="J17">
        <f t="shared" si="0"/>
        <v>0</v>
      </c>
      <c r="K17" t="str">
        <f t="shared" si="1"/>
        <v>Not Out</v>
      </c>
      <c r="L17" t="s">
        <v>157</v>
      </c>
      <c r="M17" t="s">
        <v>32</v>
      </c>
      <c r="N17" t="s">
        <v>157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</row>
    <row r="18" spans="1:19" x14ac:dyDescent="0.3">
      <c r="A18" t="s">
        <v>488</v>
      </c>
      <c r="B18" t="s">
        <v>489</v>
      </c>
      <c r="C18" t="s">
        <v>490</v>
      </c>
      <c r="D18">
        <v>2019</v>
      </c>
      <c r="E18" t="s">
        <v>55</v>
      </c>
      <c r="F18" t="s">
        <v>55</v>
      </c>
      <c r="G18" t="s">
        <v>55</v>
      </c>
      <c r="H18" t="s">
        <v>32</v>
      </c>
      <c r="I18" t="s">
        <v>244</v>
      </c>
      <c r="J18">
        <f t="shared" si="0"/>
        <v>0</v>
      </c>
      <c r="K18" t="str">
        <f t="shared" si="1"/>
        <v>Not Out</v>
      </c>
      <c r="L18" t="s">
        <v>157</v>
      </c>
      <c r="M18" t="s">
        <v>44</v>
      </c>
      <c r="N18" t="s">
        <v>148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</row>
    <row r="19" spans="1:19" x14ac:dyDescent="0.3">
      <c r="A19" t="s">
        <v>714</v>
      </c>
      <c r="B19" t="s">
        <v>715</v>
      </c>
      <c r="C19" t="s">
        <v>716</v>
      </c>
      <c r="D19">
        <v>2019</v>
      </c>
      <c r="E19" t="s">
        <v>44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  <row r="20" spans="1:19" x14ac:dyDescent="0.3">
      <c r="A20" t="s">
        <v>662</v>
      </c>
      <c r="B20" t="s">
        <v>663</v>
      </c>
      <c r="C20" t="s">
        <v>664</v>
      </c>
      <c r="D20">
        <v>2019</v>
      </c>
      <c r="E20" t="s">
        <v>55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1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375</v>
      </c>
      <c r="B2" t="s">
        <v>376</v>
      </c>
      <c r="C2" t="s">
        <v>377</v>
      </c>
      <c r="D2">
        <v>2020</v>
      </c>
      <c r="E2" t="s">
        <v>48</v>
      </c>
      <c r="F2" t="s">
        <v>48</v>
      </c>
      <c r="G2" t="s">
        <v>44</v>
      </c>
      <c r="H2" t="s">
        <v>717</v>
      </c>
      <c r="I2" t="s">
        <v>718</v>
      </c>
      <c r="J2">
        <f t="shared" ref="J2:J21" si="0">IF(I2="-", "-", VALUE(SUBSTITUTE(I2,"*","")))</f>
        <v>87</v>
      </c>
      <c r="K2" t="str">
        <f t="shared" ref="K2:K21" si="1">IF(I2="-", "-", IF(ISNUMBER(FIND("*", I2)), "Not Out", "Out"))</f>
        <v>Not Out</v>
      </c>
      <c r="L2" t="s">
        <v>719</v>
      </c>
      <c r="M2" t="s">
        <v>720</v>
      </c>
      <c r="N2" t="s">
        <v>721</v>
      </c>
      <c r="O2" t="s">
        <v>54</v>
      </c>
      <c r="P2" t="s">
        <v>23</v>
      </c>
      <c r="Q2" t="s">
        <v>55</v>
      </c>
      <c r="R2" t="s">
        <v>36</v>
      </c>
      <c r="S2" t="s">
        <v>32</v>
      </c>
    </row>
    <row r="3" spans="1:19" x14ac:dyDescent="0.3">
      <c r="A3" t="s">
        <v>595</v>
      </c>
      <c r="B3" t="s">
        <v>596</v>
      </c>
      <c r="C3" t="s">
        <v>597</v>
      </c>
      <c r="D3">
        <v>2020</v>
      </c>
      <c r="E3" t="s">
        <v>104</v>
      </c>
      <c r="F3" t="s">
        <v>77</v>
      </c>
      <c r="G3" t="s">
        <v>44</v>
      </c>
      <c r="H3" t="s">
        <v>503</v>
      </c>
      <c r="I3" t="s">
        <v>61</v>
      </c>
      <c r="J3">
        <f t="shared" si="0"/>
        <v>71</v>
      </c>
      <c r="K3" t="str">
        <f t="shared" si="1"/>
        <v>Out</v>
      </c>
      <c r="L3" t="s">
        <v>722</v>
      </c>
      <c r="M3" t="s">
        <v>689</v>
      </c>
      <c r="N3" t="s">
        <v>723</v>
      </c>
      <c r="O3" t="s">
        <v>214</v>
      </c>
      <c r="P3" t="s">
        <v>104</v>
      </c>
      <c r="Q3" t="s">
        <v>32</v>
      </c>
      <c r="R3" t="s">
        <v>55</v>
      </c>
      <c r="S3" t="s">
        <v>32</v>
      </c>
    </row>
    <row r="4" spans="1:19" x14ac:dyDescent="0.3">
      <c r="A4" t="s">
        <v>602</v>
      </c>
      <c r="B4" t="s">
        <v>603</v>
      </c>
      <c r="C4" t="s">
        <v>604</v>
      </c>
      <c r="D4">
        <v>2020</v>
      </c>
      <c r="E4" t="s">
        <v>77</v>
      </c>
      <c r="F4" t="s">
        <v>77</v>
      </c>
      <c r="G4" t="s">
        <v>55</v>
      </c>
      <c r="H4" t="s">
        <v>724</v>
      </c>
      <c r="I4" t="s">
        <v>246</v>
      </c>
      <c r="J4">
        <f t="shared" si="0"/>
        <v>83</v>
      </c>
      <c r="K4" t="str">
        <f t="shared" si="1"/>
        <v>Not Out</v>
      </c>
      <c r="L4" t="s">
        <v>725</v>
      </c>
      <c r="M4" t="s">
        <v>332</v>
      </c>
      <c r="N4" t="s">
        <v>726</v>
      </c>
      <c r="O4" t="s">
        <v>727</v>
      </c>
      <c r="P4" t="s">
        <v>48</v>
      </c>
      <c r="Q4" t="s">
        <v>32</v>
      </c>
      <c r="R4" t="s">
        <v>44</v>
      </c>
      <c r="S4" t="s">
        <v>32</v>
      </c>
    </row>
    <row r="5" spans="1:19" x14ac:dyDescent="0.3">
      <c r="A5" t="s">
        <v>406</v>
      </c>
      <c r="B5" t="s">
        <v>407</v>
      </c>
      <c r="C5" t="s">
        <v>408</v>
      </c>
      <c r="D5">
        <v>2020</v>
      </c>
      <c r="E5" t="s">
        <v>23</v>
      </c>
      <c r="F5" t="s">
        <v>77</v>
      </c>
      <c r="G5" t="s">
        <v>95</v>
      </c>
      <c r="H5" t="s">
        <v>728</v>
      </c>
      <c r="I5" t="s">
        <v>438</v>
      </c>
      <c r="J5">
        <f t="shared" si="0"/>
        <v>50</v>
      </c>
      <c r="K5" t="str">
        <f t="shared" si="1"/>
        <v>Out</v>
      </c>
      <c r="L5" t="s">
        <v>729</v>
      </c>
      <c r="M5" t="s">
        <v>453</v>
      </c>
      <c r="N5" t="s">
        <v>730</v>
      </c>
      <c r="O5" t="s">
        <v>164</v>
      </c>
      <c r="P5" t="s">
        <v>77</v>
      </c>
      <c r="Q5" t="s">
        <v>32</v>
      </c>
      <c r="R5" t="s">
        <v>55</v>
      </c>
      <c r="S5" t="s">
        <v>32</v>
      </c>
    </row>
    <row r="6" spans="1:19" x14ac:dyDescent="0.3">
      <c r="A6" t="s">
        <v>731</v>
      </c>
      <c r="B6" t="s">
        <v>732</v>
      </c>
      <c r="C6" t="s">
        <v>733</v>
      </c>
      <c r="D6">
        <v>2020</v>
      </c>
      <c r="E6" t="s">
        <v>95</v>
      </c>
      <c r="F6" t="s">
        <v>95</v>
      </c>
      <c r="G6" t="s">
        <v>44</v>
      </c>
      <c r="H6" t="s">
        <v>734</v>
      </c>
      <c r="I6" t="s">
        <v>273</v>
      </c>
      <c r="J6">
        <f t="shared" si="0"/>
        <v>72</v>
      </c>
      <c r="K6" t="str">
        <f t="shared" si="1"/>
        <v>Out</v>
      </c>
      <c r="L6" t="s">
        <v>735</v>
      </c>
      <c r="M6" t="s">
        <v>693</v>
      </c>
      <c r="N6" t="s">
        <v>736</v>
      </c>
      <c r="O6" t="s">
        <v>22</v>
      </c>
      <c r="P6" t="s">
        <v>95</v>
      </c>
      <c r="Q6" t="s">
        <v>44</v>
      </c>
      <c r="R6" t="s">
        <v>24</v>
      </c>
      <c r="S6" t="s">
        <v>32</v>
      </c>
    </row>
    <row r="7" spans="1:19" x14ac:dyDescent="0.3">
      <c r="A7" t="s">
        <v>33</v>
      </c>
      <c r="B7" t="s">
        <v>34</v>
      </c>
      <c r="C7" t="s">
        <v>35</v>
      </c>
      <c r="D7">
        <v>2020</v>
      </c>
      <c r="E7" t="s">
        <v>23</v>
      </c>
      <c r="F7" t="s">
        <v>104</v>
      </c>
      <c r="G7" t="s">
        <v>36</v>
      </c>
      <c r="H7" t="s">
        <v>737</v>
      </c>
      <c r="I7" t="s">
        <v>738</v>
      </c>
      <c r="J7">
        <f t="shared" si="0"/>
        <v>47</v>
      </c>
      <c r="K7" t="str">
        <f t="shared" si="1"/>
        <v>Not Out</v>
      </c>
      <c r="L7" t="s">
        <v>739</v>
      </c>
      <c r="M7" t="s">
        <v>740</v>
      </c>
      <c r="N7" t="s">
        <v>741</v>
      </c>
      <c r="O7" t="s">
        <v>22</v>
      </c>
      <c r="P7" t="s">
        <v>143</v>
      </c>
      <c r="Q7" t="s">
        <v>32</v>
      </c>
      <c r="R7" t="s">
        <v>32</v>
      </c>
      <c r="S7" t="s">
        <v>32</v>
      </c>
    </row>
    <row r="8" spans="1:19" x14ac:dyDescent="0.3">
      <c r="A8" t="s">
        <v>742</v>
      </c>
      <c r="B8" t="s">
        <v>743</v>
      </c>
      <c r="C8" t="s">
        <v>744</v>
      </c>
      <c r="D8">
        <v>2020</v>
      </c>
      <c r="E8" t="s">
        <v>23</v>
      </c>
      <c r="F8" t="s">
        <v>77</v>
      </c>
      <c r="G8" t="s">
        <v>24</v>
      </c>
      <c r="H8" t="s">
        <v>745</v>
      </c>
      <c r="I8" t="s">
        <v>567</v>
      </c>
      <c r="J8">
        <f t="shared" si="0"/>
        <v>52</v>
      </c>
      <c r="K8" t="str">
        <f t="shared" si="1"/>
        <v>Out</v>
      </c>
      <c r="L8" t="s">
        <v>746</v>
      </c>
      <c r="M8" t="s">
        <v>621</v>
      </c>
      <c r="N8" t="s">
        <v>747</v>
      </c>
      <c r="O8" t="s">
        <v>104</v>
      </c>
      <c r="P8" t="s">
        <v>104</v>
      </c>
      <c r="Q8" t="s">
        <v>44</v>
      </c>
      <c r="R8" t="s">
        <v>55</v>
      </c>
      <c r="S8" t="s">
        <v>32</v>
      </c>
    </row>
    <row r="9" spans="1:19" x14ac:dyDescent="0.3">
      <c r="A9" t="s">
        <v>644</v>
      </c>
      <c r="B9" t="s">
        <v>645</v>
      </c>
      <c r="C9" t="s">
        <v>646</v>
      </c>
      <c r="D9">
        <v>2020</v>
      </c>
      <c r="E9" t="s">
        <v>85</v>
      </c>
      <c r="F9" t="s">
        <v>78</v>
      </c>
      <c r="G9" t="s">
        <v>44</v>
      </c>
      <c r="H9" t="s">
        <v>201</v>
      </c>
      <c r="I9" t="s">
        <v>255</v>
      </c>
      <c r="J9">
        <f t="shared" si="0"/>
        <v>26</v>
      </c>
      <c r="K9" t="str">
        <f t="shared" si="1"/>
        <v>Out</v>
      </c>
      <c r="L9" t="s">
        <v>748</v>
      </c>
      <c r="M9" t="s">
        <v>700</v>
      </c>
      <c r="N9" t="s">
        <v>749</v>
      </c>
      <c r="O9" t="s">
        <v>143</v>
      </c>
      <c r="P9" t="s">
        <v>32</v>
      </c>
      <c r="Q9" t="s">
        <v>32</v>
      </c>
      <c r="R9" t="s">
        <v>32</v>
      </c>
      <c r="S9" t="s">
        <v>32</v>
      </c>
    </row>
    <row r="10" spans="1:19" x14ac:dyDescent="0.3">
      <c r="A10" t="s">
        <v>750</v>
      </c>
      <c r="B10" t="s">
        <v>751</v>
      </c>
      <c r="C10" t="s">
        <v>752</v>
      </c>
      <c r="D10">
        <v>2020</v>
      </c>
      <c r="E10" t="s">
        <v>78</v>
      </c>
      <c r="F10" t="s">
        <v>44</v>
      </c>
      <c r="G10" t="s">
        <v>32</v>
      </c>
      <c r="H10" t="s">
        <v>727</v>
      </c>
      <c r="I10" t="s">
        <v>727</v>
      </c>
      <c r="J10">
        <f t="shared" si="0"/>
        <v>33</v>
      </c>
      <c r="K10" t="str">
        <f t="shared" si="1"/>
        <v>Out</v>
      </c>
      <c r="L10" t="s">
        <v>753</v>
      </c>
      <c r="M10" t="s">
        <v>382</v>
      </c>
      <c r="N10" t="s">
        <v>754</v>
      </c>
      <c r="O10" t="s">
        <v>36</v>
      </c>
      <c r="P10" t="s">
        <v>32</v>
      </c>
      <c r="Q10" t="s">
        <v>55</v>
      </c>
      <c r="R10" t="s">
        <v>32</v>
      </c>
      <c r="S10" t="s">
        <v>32</v>
      </c>
    </row>
    <row r="11" spans="1:19" x14ac:dyDescent="0.3">
      <c r="A11" t="s">
        <v>204</v>
      </c>
      <c r="B11" t="s">
        <v>205</v>
      </c>
      <c r="C11" t="s">
        <v>206</v>
      </c>
      <c r="D11">
        <v>2020</v>
      </c>
      <c r="E11" t="s">
        <v>24</v>
      </c>
      <c r="F11" t="s">
        <v>24</v>
      </c>
      <c r="G11" t="s">
        <v>32</v>
      </c>
      <c r="H11" t="s">
        <v>444</v>
      </c>
      <c r="I11" t="s">
        <v>84</v>
      </c>
      <c r="J11">
        <f t="shared" si="0"/>
        <v>21</v>
      </c>
      <c r="K11" t="str">
        <f t="shared" si="1"/>
        <v>Out</v>
      </c>
      <c r="L11" t="s">
        <v>755</v>
      </c>
      <c r="M11" t="s">
        <v>756</v>
      </c>
      <c r="N11" t="s">
        <v>757</v>
      </c>
      <c r="O11" t="s">
        <v>36</v>
      </c>
      <c r="P11" t="s">
        <v>32</v>
      </c>
      <c r="Q11" t="s">
        <v>32</v>
      </c>
      <c r="R11" t="s">
        <v>32</v>
      </c>
      <c r="S11" t="s">
        <v>32</v>
      </c>
    </row>
    <row r="12" spans="1:19" x14ac:dyDescent="0.3">
      <c r="A12" t="s">
        <v>657</v>
      </c>
      <c r="B12" t="s">
        <v>658</v>
      </c>
      <c r="C12" t="s">
        <v>658</v>
      </c>
      <c r="D12">
        <v>2020</v>
      </c>
      <c r="E12" t="s">
        <v>24</v>
      </c>
      <c r="F12" t="s">
        <v>55</v>
      </c>
      <c r="G12" t="s">
        <v>55</v>
      </c>
      <c r="H12" t="s">
        <v>48</v>
      </c>
      <c r="I12" t="s">
        <v>537</v>
      </c>
      <c r="J12">
        <f t="shared" si="0"/>
        <v>13</v>
      </c>
      <c r="K12" t="str">
        <f t="shared" si="1"/>
        <v>Not Out</v>
      </c>
      <c r="L12" t="s">
        <v>157</v>
      </c>
      <c r="M12" t="s">
        <v>59</v>
      </c>
      <c r="N12" t="s">
        <v>758</v>
      </c>
      <c r="O12" t="s">
        <v>44</v>
      </c>
      <c r="P12" t="s">
        <v>32</v>
      </c>
      <c r="Q12" t="s">
        <v>32</v>
      </c>
      <c r="R12" t="s">
        <v>32</v>
      </c>
      <c r="S12" t="s">
        <v>32</v>
      </c>
    </row>
    <row r="13" spans="1:19" x14ac:dyDescent="0.3">
      <c r="A13" t="s">
        <v>648</v>
      </c>
      <c r="B13" t="s">
        <v>649</v>
      </c>
      <c r="C13" t="s">
        <v>650</v>
      </c>
      <c r="D13">
        <v>2020</v>
      </c>
      <c r="E13" t="s">
        <v>108</v>
      </c>
      <c r="F13" t="s">
        <v>44</v>
      </c>
      <c r="G13" t="s">
        <v>55</v>
      </c>
      <c r="H13" t="s">
        <v>104</v>
      </c>
      <c r="I13" t="s">
        <v>77</v>
      </c>
      <c r="J13">
        <f t="shared" si="0"/>
        <v>11</v>
      </c>
      <c r="K13" t="str">
        <f t="shared" si="1"/>
        <v>Out</v>
      </c>
      <c r="L13" t="s">
        <v>652</v>
      </c>
      <c r="M13" t="s">
        <v>84</v>
      </c>
      <c r="N13" t="s">
        <v>759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352</v>
      </c>
      <c r="B14" t="s">
        <v>353</v>
      </c>
      <c r="C14" t="s">
        <v>354</v>
      </c>
      <c r="D14">
        <v>2020</v>
      </c>
      <c r="E14" t="s">
        <v>95</v>
      </c>
      <c r="F14" t="s">
        <v>44</v>
      </c>
      <c r="G14" t="s">
        <v>32</v>
      </c>
      <c r="H14" t="s">
        <v>143</v>
      </c>
      <c r="I14" t="s">
        <v>143</v>
      </c>
      <c r="J14">
        <f t="shared" si="0"/>
        <v>7</v>
      </c>
      <c r="K14" t="str">
        <f t="shared" si="1"/>
        <v>Out</v>
      </c>
      <c r="L14" t="s">
        <v>710</v>
      </c>
      <c r="M14" t="s">
        <v>95</v>
      </c>
      <c r="N14" t="s">
        <v>760</v>
      </c>
      <c r="O14" t="s">
        <v>32</v>
      </c>
      <c r="P14" t="s">
        <v>32</v>
      </c>
      <c r="Q14" t="s">
        <v>55</v>
      </c>
      <c r="R14" t="s">
        <v>32</v>
      </c>
      <c r="S14" t="s">
        <v>32</v>
      </c>
    </row>
    <row r="15" spans="1:19" x14ac:dyDescent="0.3">
      <c r="A15" t="s">
        <v>635</v>
      </c>
      <c r="B15" t="s">
        <v>636</v>
      </c>
      <c r="C15" t="s">
        <v>637</v>
      </c>
      <c r="D15">
        <v>2020</v>
      </c>
      <c r="E15" t="s">
        <v>23</v>
      </c>
      <c r="F15" t="s">
        <v>24</v>
      </c>
      <c r="G15" t="s">
        <v>44</v>
      </c>
      <c r="H15" t="s">
        <v>143</v>
      </c>
      <c r="I15" t="s">
        <v>360</v>
      </c>
      <c r="J15">
        <f t="shared" si="0"/>
        <v>5</v>
      </c>
      <c r="K15" t="str">
        <f t="shared" si="1"/>
        <v>Not Out</v>
      </c>
      <c r="L15" t="s">
        <v>475</v>
      </c>
      <c r="M15" t="s">
        <v>104</v>
      </c>
      <c r="N15" t="s">
        <v>420</v>
      </c>
      <c r="O15" t="s">
        <v>32</v>
      </c>
      <c r="P15" t="s">
        <v>32</v>
      </c>
      <c r="Q15" t="s">
        <v>55</v>
      </c>
      <c r="R15" t="s">
        <v>32</v>
      </c>
      <c r="S15" t="s">
        <v>32</v>
      </c>
    </row>
    <row r="16" spans="1:19" x14ac:dyDescent="0.3">
      <c r="A16" t="s">
        <v>761</v>
      </c>
      <c r="B16" t="s">
        <v>762</v>
      </c>
      <c r="C16" t="s">
        <v>763</v>
      </c>
      <c r="D16">
        <v>2020</v>
      </c>
      <c r="E16" t="s">
        <v>143</v>
      </c>
      <c r="F16" t="s">
        <v>157</v>
      </c>
      <c r="G16" t="s">
        <v>157</v>
      </c>
      <c r="H16" t="s">
        <v>157</v>
      </c>
      <c r="I16" t="s">
        <v>157</v>
      </c>
      <c r="J16" t="str">
        <f t="shared" si="0"/>
        <v>-</v>
      </c>
      <c r="K16" t="str">
        <f t="shared" si="1"/>
        <v>-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</row>
    <row r="17" spans="1:19" x14ac:dyDescent="0.3">
      <c r="A17" t="s">
        <v>764</v>
      </c>
      <c r="B17" t="s">
        <v>765</v>
      </c>
      <c r="C17" t="s">
        <v>766</v>
      </c>
      <c r="D17">
        <v>2020</v>
      </c>
      <c r="E17" t="s">
        <v>24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767</v>
      </c>
      <c r="B18" t="s">
        <v>768</v>
      </c>
      <c r="C18" t="s">
        <v>768</v>
      </c>
      <c r="D18">
        <v>2020</v>
      </c>
      <c r="E18" t="s">
        <v>55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  <row r="19" spans="1:19" x14ac:dyDescent="0.3">
      <c r="A19" t="s">
        <v>668</v>
      </c>
      <c r="B19" t="s">
        <v>669</v>
      </c>
      <c r="C19" t="s">
        <v>670</v>
      </c>
      <c r="D19">
        <v>2020</v>
      </c>
      <c r="E19" t="s">
        <v>36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  <row r="20" spans="1:19" x14ac:dyDescent="0.3">
      <c r="A20" t="s">
        <v>704</v>
      </c>
      <c r="B20" t="s">
        <v>705</v>
      </c>
      <c r="C20" t="s">
        <v>706</v>
      </c>
      <c r="D20">
        <v>2020</v>
      </c>
      <c r="E20" t="s">
        <v>44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  <row r="21" spans="1:19" x14ac:dyDescent="0.3">
      <c r="A21" t="s">
        <v>662</v>
      </c>
      <c r="B21" t="s">
        <v>663</v>
      </c>
      <c r="C21" t="s">
        <v>664</v>
      </c>
      <c r="D21">
        <v>2020</v>
      </c>
      <c r="E21" t="s">
        <v>78</v>
      </c>
      <c r="F21" t="s">
        <v>157</v>
      </c>
      <c r="G21" t="s">
        <v>157</v>
      </c>
      <c r="H21" t="s">
        <v>157</v>
      </c>
      <c r="I21" t="s">
        <v>157</v>
      </c>
      <c r="J21" t="str">
        <f t="shared" si="0"/>
        <v>-</v>
      </c>
      <c r="K21" t="str">
        <f t="shared" si="1"/>
        <v>-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</row>
  </sheetData>
  <pageMargins left="0.75" right="0.75" top="1" bottom="1" header="0.5" footer="0.5"/>
  <ignoredErrors>
    <ignoredError sqref="A2:S2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S17"/>
  <sheetViews>
    <sheetView tabSelected="1" workbookViewId="0">
      <selection activeCell="R16" sqref="R16"/>
    </sheetView>
  </sheetViews>
  <sheetFormatPr defaultRowHeight="15.6" x14ac:dyDescent="0.3"/>
  <cols>
    <col min="1" max="1" width="8.69921875" bestFit="1" customWidth="1"/>
    <col min="2" max="2" width="12.2968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731</v>
      </c>
      <c r="B2" t="s">
        <v>732</v>
      </c>
      <c r="C2" t="s">
        <v>733</v>
      </c>
      <c r="D2">
        <v>2021</v>
      </c>
      <c r="E2" t="s">
        <v>22</v>
      </c>
      <c r="F2" t="s">
        <v>22</v>
      </c>
      <c r="G2" t="s">
        <v>44</v>
      </c>
      <c r="H2" t="s">
        <v>769</v>
      </c>
      <c r="I2" t="s">
        <v>770</v>
      </c>
      <c r="J2">
        <f t="shared" ref="J2:J17" si="0">IF(I2="-", "-", VALUE(SUBSTITUTE(I2,"*","")))</f>
        <v>101</v>
      </c>
      <c r="K2" t="str">
        <f t="shared" ref="K2:K17" si="1">IF(I2="-", "-", IF(ISNUMBER(FIND("*", I2)), "Not Out", "Out"))</f>
        <v>Not Out</v>
      </c>
      <c r="L2" t="s">
        <v>771</v>
      </c>
      <c r="M2" t="s">
        <v>772</v>
      </c>
      <c r="N2" t="s">
        <v>773</v>
      </c>
      <c r="O2" t="s">
        <v>80</v>
      </c>
      <c r="P2" t="s">
        <v>118</v>
      </c>
      <c r="Q2" t="s">
        <v>32</v>
      </c>
      <c r="R2" t="s">
        <v>36</v>
      </c>
      <c r="S2" t="s">
        <v>55</v>
      </c>
    </row>
    <row r="3" spans="1:19" x14ac:dyDescent="0.3">
      <c r="A3" t="s">
        <v>375</v>
      </c>
      <c r="B3" t="s">
        <v>376</v>
      </c>
      <c r="C3" t="s">
        <v>377</v>
      </c>
      <c r="D3">
        <v>2021</v>
      </c>
      <c r="E3" t="s">
        <v>22</v>
      </c>
      <c r="F3" t="s">
        <v>22</v>
      </c>
      <c r="G3" t="s">
        <v>44</v>
      </c>
      <c r="H3" t="s">
        <v>774</v>
      </c>
      <c r="I3" t="s">
        <v>775</v>
      </c>
      <c r="J3">
        <f t="shared" si="0"/>
        <v>95</v>
      </c>
      <c r="K3" t="str">
        <f t="shared" si="1"/>
        <v>Not Out</v>
      </c>
      <c r="L3" t="s">
        <v>776</v>
      </c>
      <c r="M3" t="s">
        <v>250</v>
      </c>
      <c r="N3" t="s">
        <v>777</v>
      </c>
      <c r="O3" t="s">
        <v>163</v>
      </c>
      <c r="P3" t="s">
        <v>118</v>
      </c>
      <c r="Q3" t="s">
        <v>44</v>
      </c>
      <c r="R3" t="s">
        <v>95</v>
      </c>
      <c r="S3" t="s">
        <v>32</v>
      </c>
    </row>
    <row r="4" spans="1:19" x14ac:dyDescent="0.3">
      <c r="A4" t="s">
        <v>778</v>
      </c>
      <c r="B4" t="s">
        <v>779</v>
      </c>
      <c r="C4" t="s">
        <v>780</v>
      </c>
      <c r="D4">
        <v>2021</v>
      </c>
      <c r="E4" t="s">
        <v>43</v>
      </c>
      <c r="F4" t="s">
        <v>43</v>
      </c>
      <c r="G4" t="s">
        <v>55</v>
      </c>
      <c r="H4" t="s">
        <v>781</v>
      </c>
      <c r="I4" t="s">
        <v>692</v>
      </c>
      <c r="J4">
        <f t="shared" si="0"/>
        <v>58</v>
      </c>
      <c r="K4" t="str">
        <f t="shared" si="1"/>
        <v>Out</v>
      </c>
      <c r="L4" t="s">
        <v>782</v>
      </c>
      <c r="M4" t="s">
        <v>783</v>
      </c>
      <c r="N4" t="s">
        <v>784</v>
      </c>
      <c r="O4" t="s">
        <v>207</v>
      </c>
      <c r="P4" t="s">
        <v>187</v>
      </c>
      <c r="Q4" t="s">
        <v>44</v>
      </c>
      <c r="R4" t="s">
        <v>55</v>
      </c>
      <c r="S4" t="s">
        <v>32</v>
      </c>
    </row>
    <row r="5" spans="1:19" x14ac:dyDescent="0.3">
      <c r="A5" t="s">
        <v>595</v>
      </c>
      <c r="B5" t="s">
        <v>596</v>
      </c>
      <c r="C5" t="s">
        <v>597</v>
      </c>
      <c r="D5">
        <v>2021</v>
      </c>
      <c r="E5" t="s">
        <v>22</v>
      </c>
      <c r="F5" t="s">
        <v>48</v>
      </c>
      <c r="G5" t="s">
        <v>36</v>
      </c>
      <c r="H5" t="s">
        <v>785</v>
      </c>
      <c r="I5" t="s">
        <v>786</v>
      </c>
      <c r="J5">
        <f t="shared" si="0"/>
        <v>72</v>
      </c>
      <c r="K5" t="str">
        <f t="shared" si="1"/>
        <v>Not Out</v>
      </c>
      <c r="L5" t="s">
        <v>787</v>
      </c>
      <c r="M5" t="s">
        <v>788</v>
      </c>
      <c r="N5" t="s">
        <v>789</v>
      </c>
      <c r="O5" t="s">
        <v>22</v>
      </c>
      <c r="P5" t="s">
        <v>297</v>
      </c>
      <c r="Q5" t="s">
        <v>55</v>
      </c>
      <c r="R5" t="s">
        <v>44</v>
      </c>
      <c r="S5" t="s">
        <v>32</v>
      </c>
    </row>
    <row r="6" spans="1:19" x14ac:dyDescent="0.3">
      <c r="A6" t="s">
        <v>406</v>
      </c>
      <c r="B6" t="s">
        <v>407</v>
      </c>
      <c r="C6" t="s">
        <v>408</v>
      </c>
      <c r="D6">
        <v>2021</v>
      </c>
      <c r="E6" t="s">
        <v>22</v>
      </c>
      <c r="F6" t="s">
        <v>104</v>
      </c>
      <c r="G6" t="s">
        <v>108</v>
      </c>
      <c r="H6" t="s">
        <v>790</v>
      </c>
      <c r="I6" t="s">
        <v>576</v>
      </c>
      <c r="J6">
        <f t="shared" si="0"/>
        <v>62</v>
      </c>
      <c r="K6" t="str">
        <f t="shared" si="1"/>
        <v>Not Out</v>
      </c>
      <c r="L6" t="s">
        <v>791</v>
      </c>
      <c r="M6" t="s">
        <v>792</v>
      </c>
      <c r="N6" t="s">
        <v>793</v>
      </c>
      <c r="O6" t="s">
        <v>187</v>
      </c>
      <c r="P6" t="s">
        <v>108</v>
      </c>
      <c r="Q6" t="s">
        <v>32</v>
      </c>
      <c r="R6" t="s">
        <v>55</v>
      </c>
      <c r="S6" t="s">
        <v>32</v>
      </c>
    </row>
    <row r="7" spans="1:19" x14ac:dyDescent="0.3">
      <c r="A7" t="s">
        <v>19</v>
      </c>
      <c r="B7" t="s">
        <v>20</v>
      </c>
      <c r="C7" t="s">
        <v>21</v>
      </c>
      <c r="D7">
        <v>2021</v>
      </c>
      <c r="E7" t="s">
        <v>104</v>
      </c>
      <c r="F7" t="s">
        <v>77</v>
      </c>
      <c r="G7" t="s">
        <v>44</v>
      </c>
      <c r="H7" t="s">
        <v>794</v>
      </c>
      <c r="I7" t="s">
        <v>50</v>
      </c>
      <c r="J7">
        <f t="shared" si="0"/>
        <v>54</v>
      </c>
      <c r="K7" t="str">
        <f t="shared" si="1"/>
        <v>Out</v>
      </c>
      <c r="L7" t="s">
        <v>795</v>
      </c>
      <c r="M7" t="s">
        <v>796</v>
      </c>
      <c r="N7" t="s">
        <v>464</v>
      </c>
      <c r="O7" t="s">
        <v>48</v>
      </c>
      <c r="P7" t="s">
        <v>108</v>
      </c>
      <c r="Q7" t="s">
        <v>32</v>
      </c>
      <c r="R7" t="s">
        <v>55</v>
      </c>
      <c r="S7" t="s">
        <v>32</v>
      </c>
    </row>
    <row r="8" spans="1:19" x14ac:dyDescent="0.3">
      <c r="A8" t="s">
        <v>797</v>
      </c>
      <c r="B8" t="s">
        <v>798</v>
      </c>
      <c r="C8" t="s">
        <v>799</v>
      </c>
      <c r="D8">
        <v>2021</v>
      </c>
      <c r="E8" t="s">
        <v>36</v>
      </c>
      <c r="F8" t="s">
        <v>36</v>
      </c>
      <c r="G8" t="s">
        <v>32</v>
      </c>
      <c r="H8" t="s">
        <v>800</v>
      </c>
      <c r="I8" t="s">
        <v>350</v>
      </c>
      <c r="J8">
        <f t="shared" si="0"/>
        <v>63</v>
      </c>
      <c r="K8" t="str">
        <f t="shared" si="1"/>
        <v>Out</v>
      </c>
      <c r="L8" t="s">
        <v>801</v>
      </c>
      <c r="M8" t="s">
        <v>802</v>
      </c>
      <c r="N8" t="s">
        <v>803</v>
      </c>
      <c r="O8" t="s">
        <v>85</v>
      </c>
      <c r="P8" t="s">
        <v>78</v>
      </c>
      <c r="Q8" t="s">
        <v>32</v>
      </c>
      <c r="R8" t="s">
        <v>55</v>
      </c>
      <c r="S8" t="s">
        <v>32</v>
      </c>
    </row>
    <row r="9" spans="1:19" x14ac:dyDescent="0.3">
      <c r="A9" t="s">
        <v>33</v>
      </c>
      <c r="B9" t="s">
        <v>34</v>
      </c>
      <c r="C9" t="s">
        <v>35</v>
      </c>
      <c r="D9">
        <v>2021</v>
      </c>
      <c r="E9" t="s">
        <v>22</v>
      </c>
      <c r="F9" t="s">
        <v>77</v>
      </c>
      <c r="G9" t="s">
        <v>36</v>
      </c>
      <c r="H9" t="s">
        <v>804</v>
      </c>
      <c r="I9" t="s">
        <v>416</v>
      </c>
      <c r="J9">
        <f t="shared" si="0"/>
        <v>18</v>
      </c>
      <c r="K9" t="str">
        <f t="shared" si="1"/>
        <v>Not Out</v>
      </c>
      <c r="L9" t="s">
        <v>805</v>
      </c>
      <c r="M9" t="s">
        <v>413</v>
      </c>
      <c r="N9" t="s">
        <v>806</v>
      </c>
      <c r="O9" t="s">
        <v>104</v>
      </c>
      <c r="P9" t="s">
        <v>24</v>
      </c>
      <c r="Q9" t="s">
        <v>55</v>
      </c>
      <c r="R9" t="s">
        <v>32</v>
      </c>
      <c r="S9" t="s">
        <v>32</v>
      </c>
    </row>
    <row r="10" spans="1:19" x14ac:dyDescent="0.3">
      <c r="A10" t="s">
        <v>742</v>
      </c>
      <c r="B10" t="s">
        <v>743</v>
      </c>
      <c r="C10" t="s">
        <v>744</v>
      </c>
      <c r="D10">
        <v>2021</v>
      </c>
      <c r="E10" t="s">
        <v>108</v>
      </c>
      <c r="F10" t="s">
        <v>36</v>
      </c>
      <c r="G10" t="s">
        <v>55</v>
      </c>
      <c r="H10" t="s">
        <v>398</v>
      </c>
      <c r="I10" t="s">
        <v>323</v>
      </c>
      <c r="J10">
        <f t="shared" si="0"/>
        <v>34</v>
      </c>
      <c r="K10" t="str">
        <f t="shared" si="1"/>
        <v>Out</v>
      </c>
      <c r="L10" t="s">
        <v>807</v>
      </c>
      <c r="M10" t="s">
        <v>382</v>
      </c>
      <c r="N10" t="s">
        <v>808</v>
      </c>
      <c r="O10" t="s">
        <v>78</v>
      </c>
      <c r="P10" t="s">
        <v>24</v>
      </c>
      <c r="Q10" t="s">
        <v>32</v>
      </c>
      <c r="R10" t="s">
        <v>32</v>
      </c>
      <c r="S10" t="s">
        <v>32</v>
      </c>
    </row>
    <row r="11" spans="1:19" x14ac:dyDescent="0.3">
      <c r="A11" t="s">
        <v>352</v>
      </c>
      <c r="B11" t="s">
        <v>353</v>
      </c>
      <c r="C11" t="s">
        <v>354</v>
      </c>
      <c r="D11">
        <v>2021</v>
      </c>
      <c r="E11" t="s">
        <v>77</v>
      </c>
      <c r="F11" t="s">
        <v>24</v>
      </c>
      <c r="G11" t="s">
        <v>44</v>
      </c>
      <c r="H11" t="s">
        <v>809</v>
      </c>
      <c r="I11" t="s">
        <v>118</v>
      </c>
      <c r="J11">
        <f t="shared" si="0"/>
        <v>23</v>
      </c>
      <c r="K11" t="str">
        <f t="shared" si="1"/>
        <v>Out</v>
      </c>
      <c r="L11" t="s">
        <v>810</v>
      </c>
      <c r="M11" t="s">
        <v>31</v>
      </c>
      <c r="N11" t="s">
        <v>811</v>
      </c>
      <c r="O11" t="s">
        <v>24</v>
      </c>
      <c r="P11" t="s">
        <v>36</v>
      </c>
      <c r="Q11" t="s">
        <v>32</v>
      </c>
      <c r="R11" t="s">
        <v>32</v>
      </c>
      <c r="S11" t="s">
        <v>32</v>
      </c>
    </row>
    <row r="12" spans="1:19" x14ac:dyDescent="0.3">
      <c r="A12" t="s">
        <v>648</v>
      </c>
      <c r="B12" t="s">
        <v>649</v>
      </c>
      <c r="C12" t="s">
        <v>650</v>
      </c>
      <c r="D12">
        <v>2021</v>
      </c>
      <c r="E12" t="s">
        <v>22</v>
      </c>
      <c r="F12" t="s">
        <v>36</v>
      </c>
      <c r="G12" t="s">
        <v>44</v>
      </c>
      <c r="H12" t="s">
        <v>78</v>
      </c>
      <c r="I12" t="s">
        <v>303</v>
      </c>
      <c r="J12">
        <f t="shared" si="0"/>
        <v>3</v>
      </c>
      <c r="K12" t="str">
        <f t="shared" si="1"/>
        <v>Not Out</v>
      </c>
      <c r="L12" t="s">
        <v>812</v>
      </c>
      <c r="M12" t="s">
        <v>78</v>
      </c>
      <c r="N12" t="s">
        <v>232</v>
      </c>
      <c r="O12" t="s">
        <v>32</v>
      </c>
      <c r="P12" t="s">
        <v>32</v>
      </c>
      <c r="Q12" t="s">
        <v>55</v>
      </c>
      <c r="R12" t="s">
        <v>32</v>
      </c>
      <c r="S12" t="s">
        <v>32</v>
      </c>
    </row>
    <row r="13" spans="1:19" x14ac:dyDescent="0.3">
      <c r="A13" t="s">
        <v>635</v>
      </c>
      <c r="B13" t="s">
        <v>636</v>
      </c>
      <c r="C13" t="s">
        <v>637</v>
      </c>
      <c r="D13">
        <v>2021</v>
      </c>
      <c r="E13" t="s">
        <v>43</v>
      </c>
      <c r="F13" t="s">
        <v>44</v>
      </c>
      <c r="G13" t="s">
        <v>44</v>
      </c>
      <c r="H13" t="s">
        <v>55</v>
      </c>
      <c r="I13" t="s">
        <v>239</v>
      </c>
      <c r="J13">
        <f t="shared" si="0"/>
        <v>1</v>
      </c>
      <c r="K13" t="str">
        <f t="shared" si="1"/>
        <v>Not Out</v>
      </c>
      <c r="L13" t="s">
        <v>157</v>
      </c>
      <c r="M13" t="s">
        <v>55</v>
      </c>
      <c r="N13" t="s">
        <v>232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665</v>
      </c>
      <c r="B14" t="s">
        <v>666</v>
      </c>
      <c r="C14" t="s">
        <v>667</v>
      </c>
      <c r="D14">
        <v>2021</v>
      </c>
      <c r="E14" t="s">
        <v>55</v>
      </c>
      <c r="F14" t="s">
        <v>157</v>
      </c>
      <c r="G14" t="s">
        <v>157</v>
      </c>
      <c r="H14" t="s">
        <v>157</v>
      </c>
      <c r="I14" t="s">
        <v>157</v>
      </c>
      <c r="J14" t="str">
        <f t="shared" si="0"/>
        <v>-</v>
      </c>
      <c r="K14" t="str">
        <f t="shared" si="1"/>
        <v>-</v>
      </c>
      <c r="L14" t="s">
        <v>157</v>
      </c>
      <c r="M14" t="s">
        <v>157</v>
      </c>
      <c r="N14" t="s">
        <v>157</v>
      </c>
      <c r="O14" t="s">
        <v>157</v>
      </c>
      <c r="P14" t="s">
        <v>157</v>
      </c>
      <c r="Q14" t="s">
        <v>157</v>
      </c>
      <c r="R14" t="s">
        <v>157</v>
      </c>
      <c r="S14" t="s">
        <v>157</v>
      </c>
    </row>
    <row r="15" spans="1:19" x14ac:dyDescent="0.3">
      <c r="A15" t="s">
        <v>764</v>
      </c>
      <c r="B15" t="s">
        <v>765</v>
      </c>
      <c r="C15" t="s">
        <v>766</v>
      </c>
      <c r="D15">
        <v>2021</v>
      </c>
      <c r="E15" t="s">
        <v>108</v>
      </c>
      <c r="F15" t="s">
        <v>157</v>
      </c>
      <c r="G15" t="s">
        <v>157</v>
      </c>
      <c r="H15" t="s">
        <v>157</v>
      </c>
      <c r="I15" t="s">
        <v>157</v>
      </c>
      <c r="J15" t="str">
        <f t="shared" si="0"/>
        <v>-</v>
      </c>
      <c r="K15" t="str">
        <f t="shared" si="1"/>
        <v>-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</row>
    <row r="16" spans="1:19" x14ac:dyDescent="0.3">
      <c r="A16" t="s">
        <v>657</v>
      </c>
      <c r="B16" t="s">
        <v>658</v>
      </c>
      <c r="C16" t="s">
        <v>658</v>
      </c>
      <c r="D16">
        <v>2021</v>
      </c>
      <c r="E16" t="s">
        <v>55</v>
      </c>
      <c r="F16" t="s">
        <v>157</v>
      </c>
      <c r="G16" t="s">
        <v>157</v>
      </c>
      <c r="H16" t="s">
        <v>157</v>
      </c>
      <c r="I16" t="s">
        <v>157</v>
      </c>
      <c r="J16" t="str">
        <f t="shared" si="0"/>
        <v>-</v>
      </c>
      <c r="K16" t="str">
        <f t="shared" si="1"/>
        <v>-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</row>
    <row r="17" spans="1:19" x14ac:dyDescent="0.3">
      <c r="A17" t="s">
        <v>668</v>
      </c>
      <c r="B17" t="s">
        <v>669</v>
      </c>
      <c r="C17" t="s">
        <v>670</v>
      </c>
      <c r="D17">
        <v>2021</v>
      </c>
      <c r="E17" t="s">
        <v>24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21"/>
  <sheetViews>
    <sheetView workbookViewId="0">
      <selection activeCell="C19" sqref="C19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731</v>
      </c>
      <c r="B2" t="s">
        <v>732</v>
      </c>
      <c r="C2" t="s">
        <v>733</v>
      </c>
      <c r="D2">
        <v>2022</v>
      </c>
      <c r="E2" t="s">
        <v>23</v>
      </c>
      <c r="F2" t="s">
        <v>23</v>
      </c>
      <c r="G2" t="s">
        <v>32</v>
      </c>
      <c r="H2" t="s">
        <v>813</v>
      </c>
      <c r="I2" t="s">
        <v>814</v>
      </c>
      <c r="J2">
        <f t="shared" ref="J2:J21" si="0">IF(I2="-", "-", VALUE(SUBSTITUTE(I2,"*","")))</f>
        <v>99</v>
      </c>
      <c r="K2" t="str">
        <f t="shared" ref="K2:K21" si="1">IF(I2="-", "-", IF(ISNUMBER(FIND("*", I2)), "Not Out", "Out"))</f>
        <v>Out</v>
      </c>
      <c r="L2" t="s">
        <v>815</v>
      </c>
      <c r="M2" t="s">
        <v>816</v>
      </c>
      <c r="N2" t="s">
        <v>817</v>
      </c>
      <c r="O2" t="s">
        <v>727</v>
      </c>
      <c r="P2" t="s">
        <v>23</v>
      </c>
      <c r="Q2" t="s">
        <v>44</v>
      </c>
      <c r="R2" t="s">
        <v>24</v>
      </c>
      <c r="S2" t="s">
        <v>32</v>
      </c>
    </row>
    <row r="3" spans="1:19" x14ac:dyDescent="0.3">
      <c r="A3" t="s">
        <v>818</v>
      </c>
      <c r="B3" t="s">
        <v>819</v>
      </c>
      <c r="C3" t="s">
        <v>820</v>
      </c>
      <c r="D3">
        <v>2022</v>
      </c>
      <c r="E3" t="s">
        <v>77</v>
      </c>
      <c r="F3" t="s">
        <v>77</v>
      </c>
      <c r="G3" t="s">
        <v>55</v>
      </c>
      <c r="H3" t="s">
        <v>821</v>
      </c>
      <c r="I3" t="s">
        <v>775</v>
      </c>
      <c r="J3">
        <f t="shared" si="0"/>
        <v>95</v>
      </c>
      <c r="K3" t="str">
        <f t="shared" si="1"/>
        <v>Not Out</v>
      </c>
      <c r="L3" t="s">
        <v>822</v>
      </c>
      <c r="M3" t="s">
        <v>823</v>
      </c>
      <c r="N3" t="s">
        <v>824</v>
      </c>
      <c r="O3" t="s">
        <v>164</v>
      </c>
      <c r="P3" t="s">
        <v>22</v>
      </c>
      <c r="Q3" t="s">
        <v>55</v>
      </c>
      <c r="R3" t="s">
        <v>44</v>
      </c>
      <c r="S3" t="s">
        <v>32</v>
      </c>
    </row>
    <row r="4" spans="1:19" x14ac:dyDescent="0.3">
      <c r="A4" t="s">
        <v>595</v>
      </c>
      <c r="B4" t="s">
        <v>596</v>
      </c>
      <c r="C4" t="s">
        <v>597</v>
      </c>
      <c r="D4">
        <v>2022</v>
      </c>
      <c r="E4" t="s">
        <v>48</v>
      </c>
      <c r="F4" t="s">
        <v>77</v>
      </c>
      <c r="G4" t="s">
        <v>32</v>
      </c>
      <c r="H4" t="s">
        <v>825</v>
      </c>
      <c r="I4" t="s">
        <v>630</v>
      </c>
      <c r="J4">
        <f t="shared" si="0"/>
        <v>78</v>
      </c>
      <c r="K4" t="str">
        <f t="shared" si="1"/>
        <v>Out</v>
      </c>
      <c r="L4" t="s">
        <v>826</v>
      </c>
      <c r="M4" t="s">
        <v>827</v>
      </c>
      <c r="N4" t="s">
        <v>828</v>
      </c>
      <c r="O4" t="s">
        <v>334</v>
      </c>
      <c r="P4" t="s">
        <v>43</v>
      </c>
      <c r="Q4" t="s">
        <v>32</v>
      </c>
      <c r="R4" t="s">
        <v>55</v>
      </c>
      <c r="S4" t="s">
        <v>32</v>
      </c>
    </row>
    <row r="5" spans="1:19" x14ac:dyDescent="0.3">
      <c r="A5" t="s">
        <v>829</v>
      </c>
      <c r="B5" t="s">
        <v>830</v>
      </c>
      <c r="C5" t="s">
        <v>831</v>
      </c>
      <c r="D5">
        <v>2022</v>
      </c>
      <c r="E5" t="s">
        <v>143</v>
      </c>
      <c r="F5" t="s">
        <v>143</v>
      </c>
      <c r="G5" t="s">
        <v>55</v>
      </c>
      <c r="H5" t="s">
        <v>832</v>
      </c>
      <c r="I5" t="s">
        <v>501</v>
      </c>
      <c r="J5">
        <f t="shared" si="0"/>
        <v>87</v>
      </c>
      <c r="K5" t="str">
        <f t="shared" si="1"/>
        <v>Out</v>
      </c>
      <c r="L5" t="s">
        <v>833</v>
      </c>
      <c r="M5" t="s">
        <v>834</v>
      </c>
      <c r="N5" t="s">
        <v>835</v>
      </c>
      <c r="O5" t="s">
        <v>164</v>
      </c>
      <c r="P5" t="s">
        <v>104</v>
      </c>
      <c r="Q5" t="s">
        <v>55</v>
      </c>
      <c r="R5" t="s">
        <v>24</v>
      </c>
      <c r="S5" t="s">
        <v>32</v>
      </c>
    </row>
    <row r="6" spans="1:19" x14ac:dyDescent="0.3">
      <c r="A6" t="s">
        <v>778</v>
      </c>
      <c r="B6" t="s">
        <v>779</v>
      </c>
      <c r="C6" t="s">
        <v>780</v>
      </c>
      <c r="D6">
        <v>2022</v>
      </c>
      <c r="E6" t="s">
        <v>59</v>
      </c>
      <c r="F6" t="s">
        <v>59</v>
      </c>
      <c r="G6" t="s">
        <v>32</v>
      </c>
      <c r="H6" t="s">
        <v>836</v>
      </c>
      <c r="I6" t="s">
        <v>196</v>
      </c>
      <c r="J6">
        <f t="shared" si="0"/>
        <v>93</v>
      </c>
      <c r="K6" t="str">
        <f t="shared" si="1"/>
        <v>Out</v>
      </c>
      <c r="L6" t="s">
        <v>837</v>
      </c>
      <c r="M6" t="s">
        <v>176</v>
      </c>
      <c r="N6" t="s">
        <v>838</v>
      </c>
      <c r="O6" t="s">
        <v>94</v>
      </c>
      <c r="P6" t="s">
        <v>77</v>
      </c>
      <c r="Q6" t="s">
        <v>44</v>
      </c>
      <c r="R6" t="s">
        <v>55</v>
      </c>
      <c r="S6" t="s">
        <v>32</v>
      </c>
    </row>
    <row r="7" spans="1:19" x14ac:dyDescent="0.3">
      <c r="A7" t="s">
        <v>33</v>
      </c>
      <c r="B7" t="s">
        <v>34</v>
      </c>
      <c r="C7" t="s">
        <v>35</v>
      </c>
      <c r="D7">
        <v>2022</v>
      </c>
      <c r="E7" t="s">
        <v>23</v>
      </c>
      <c r="F7" t="s">
        <v>48</v>
      </c>
      <c r="G7" t="s">
        <v>95</v>
      </c>
      <c r="H7" t="s">
        <v>728</v>
      </c>
      <c r="I7" t="s">
        <v>530</v>
      </c>
      <c r="J7">
        <f t="shared" si="0"/>
        <v>50</v>
      </c>
      <c r="K7" t="str">
        <f t="shared" si="1"/>
        <v>Not Out</v>
      </c>
      <c r="L7" t="s">
        <v>839</v>
      </c>
      <c r="M7" t="s">
        <v>840</v>
      </c>
      <c r="N7" t="s">
        <v>533</v>
      </c>
      <c r="O7" t="s">
        <v>84</v>
      </c>
      <c r="P7" t="s">
        <v>59</v>
      </c>
      <c r="Q7" t="s">
        <v>32</v>
      </c>
      <c r="R7" t="s">
        <v>55</v>
      </c>
      <c r="S7" t="s">
        <v>32</v>
      </c>
    </row>
    <row r="8" spans="1:19" x14ac:dyDescent="0.3">
      <c r="A8" t="s">
        <v>797</v>
      </c>
      <c r="B8" t="s">
        <v>798</v>
      </c>
      <c r="C8" t="s">
        <v>799</v>
      </c>
      <c r="D8">
        <v>2022</v>
      </c>
      <c r="E8" t="s">
        <v>104</v>
      </c>
      <c r="F8" t="s">
        <v>77</v>
      </c>
      <c r="G8" t="s">
        <v>32</v>
      </c>
      <c r="H8" t="s">
        <v>841</v>
      </c>
      <c r="I8" t="s">
        <v>193</v>
      </c>
      <c r="J8">
        <f t="shared" si="0"/>
        <v>88</v>
      </c>
      <c r="K8" t="str">
        <f t="shared" si="1"/>
        <v>Out</v>
      </c>
      <c r="L8" t="s">
        <v>842</v>
      </c>
      <c r="M8" t="s">
        <v>843</v>
      </c>
      <c r="N8" t="s">
        <v>844</v>
      </c>
      <c r="O8" t="s">
        <v>187</v>
      </c>
      <c r="P8" t="s">
        <v>23</v>
      </c>
      <c r="Q8" t="s">
        <v>55</v>
      </c>
      <c r="R8" t="s">
        <v>44</v>
      </c>
      <c r="S8" t="s">
        <v>32</v>
      </c>
    </row>
    <row r="9" spans="1:19" x14ac:dyDescent="0.3">
      <c r="A9" t="s">
        <v>406</v>
      </c>
      <c r="B9" t="s">
        <v>407</v>
      </c>
      <c r="C9" t="s">
        <v>408</v>
      </c>
      <c r="D9">
        <v>2022</v>
      </c>
      <c r="E9" t="s">
        <v>59</v>
      </c>
      <c r="F9" t="s">
        <v>59</v>
      </c>
      <c r="G9" t="s">
        <v>36</v>
      </c>
      <c r="H9" t="s">
        <v>529</v>
      </c>
      <c r="I9" t="s">
        <v>845</v>
      </c>
      <c r="J9">
        <f t="shared" si="0"/>
        <v>26</v>
      </c>
      <c r="K9" t="str">
        <f t="shared" si="1"/>
        <v>Not Out</v>
      </c>
      <c r="L9" t="s">
        <v>846</v>
      </c>
      <c r="M9" t="s">
        <v>166</v>
      </c>
      <c r="N9" t="s">
        <v>847</v>
      </c>
      <c r="O9" t="s">
        <v>95</v>
      </c>
      <c r="P9" t="s">
        <v>78</v>
      </c>
      <c r="Q9" t="s">
        <v>44</v>
      </c>
      <c r="R9" t="s">
        <v>32</v>
      </c>
      <c r="S9" t="s">
        <v>32</v>
      </c>
    </row>
    <row r="10" spans="1:19" x14ac:dyDescent="0.3">
      <c r="A10" t="s">
        <v>848</v>
      </c>
      <c r="B10" t="s">
        <v>849</v>
      </c>
      <c r="C10" t="s">
        <v>850</v>
      </c>
      <c r="D10">
        <v>2022</v>
      </c>
      <c r="E10" t="s">
        <v>95</v>
      </c>
      <c r="F10" t="s">
        <v>78</v>
      </c>
      <c r="G10" t="s">
        <v>55</v>
      </c>
      <c r="H10" t="s">
        <v>278</v>
      </c>
      <c r="I10" t="s">
        <v>164</v>
      </c>
      <c r="J10">
        <f t="shared" si="0"/>
        <v>22</v>
      </c>
      <c r="K10" t="str">
        <f t="shared" si="1"/>
        <v>Out</v>
      </c>
      <c r="L10" t="s">
        <v>137</v>
      </c>
      <c r="M10" t="s">
        <v>402</v>
      </c>
      <c r="N10" t="s">
        <v>851</v>
      </c>
      <c r="O10" t="s">
        <v>24</v>
      </c>
      <c r="P10" t="s">
        <v>24</v>
      </c>
      <c r="Q10" t="s">
        <v>55</v>
      </c>
      <c r="R10" t="s">
        <v>32</v>
      </c>
      <c r="S10" t="s">
        <v>32</v>
      </c>
    </row>
    <row r="11" spans="1:19" x14ac:dyDescent="0.3">
      <c r="A11" t="s">
        <v>750</v>
      </c>
      <c r="B11" t="s">
        <v>751</v>
      </c>
      <c r="C11" t="s">
        <v>752</v>
      </c>
      <c r="D11">
        <v>2022</v>
      </c>
      <c r="E11" t="s">
        <v>44</v>
      </c>
      <c r="F11" t="s">
        <v>44</v>
      </c>
      <c r="G11" t="s">
        <v>55</v>
      </c>
      <c r="H11" t="s">
        <v>284</v>
      </c>
      <c r="I11" t="s">
        <v>852</v>
      </c>
      <c r="J11">
        <f t="shared" si="0"/>
        <v>39</v>
      </c>
      <c r="K11" t="str">
        <f t="shared" si="1"/>
        <v>Not Out</v>
      </c>
      <c r="L11" t="s">
        <v>235</v>
      </c>
      <c r="M11" t="s">
        <v>170</v>
      </c>
      <c r="N11" t="s">
        <v>853</v>
      </c>
      <c r="O11" t="s">
        <v>24</v>
      </c>
      <c r="P11" t="s">
        <v>55</v>
      </c>
      <c r="Q11" t="s">
        <v>32</v>
      </c>
      <c r="R11" t="s">
        <v>32</v>
      </c>
      <c r="S11" t="s">
        <v>32</v>
      </c>
    </row>
    <row r="12" spans="1:19" x14ac:dyDescent="0.3">
      <c r="A12" t="s">
        <v>352</v>
      </c>
      <c r="B12" t="s">
        <v>353</v>
      </c>
      <c r="C12" t="s">
        <v>354</v>
      </c>
      <c r="D12">
        <v>2022</v>
      </c>
      <c r="E12" t="s">
        <v>59</v>
      </c>
      <c r="F12" t="s">
        <v>95</v>
      </c>
      <c r="G12" t="s">
        <v>36</v>
      </c>
      <c r="H12" t="s">
        <v>118</v>
      </c>
      <c r="I12" t="s">
        <v>104</v>
      </c>
      <c r="J12">
        <f t="shared" si="0"/>
        <v>12</v>
      </c>
      <c r="K12" t="str">
        <f t="shared" si="1"/>
        <v>Out</v>
      </c>
      <c r="L12" t="s">
        <v>854</v>
      </c>
      <c r="M12" t="s">
        <v>94</v>
      </c>
      <c r="N12" t="s">
        <v>855</v>
      </c>
      <c r="O12" t="s">
        <v>55</v>
      </c>
      <c r="P12" t="s">
        <v>55</v>
      </c>
      <c r="Q12" t="s">
        <v>55</v>
      </c>
      <c r="R12" t="s">
        <v>32</v>
      </c>
      <c r="S12" t="s">
        <v>32</v>
      </c>
    </row>
    <row r="13" spans="1:19" x14ac:dyDescent="0.3">
      <c r="A13" t="s">
        <v>704</v>
      </c>
      <c r="B13" t="s">
        <v>705</v>
      </c>
      <c r="C13" t="s">
        <v>706</v>
      </c>
      <c r="D13">
        <v>2022</v>
      </c>
      <c r="E13" t="s">
        <v>95</v>
      </c>
      <c r="F13" t="s">
        <v>36</v>
      </c>
      <c r="G13" t="s">
        <v>44</v>
      </c>
      <c r="H13" t="s">
        <v>164</v>
      </c>
      <c r="I13" t="s">
        <v>77</v>
      </c>
      <c r="J13">
        <f t="shared" si="0"/>
        <v>11</v>
      </c>
      <c r="K13" t="str">
        <f t="shared" si="1"/>
        <v>Out</v>
      </c>
      <c r="L13" t="s">
        <v>137</v>
      </c>
      <c r="M13" t="s">
        <v>73</v>
      </c>
      <c r="N13" t="s">
        <v>856</v>
      </c>
      <c r="O13" t="s">
        <v>24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857</v>
      </c>
      <c r="B14" t="s">
        <v>858</v>
      </c>
      <c r="C14" t="s">
        <v>859</v>
      </c>
      <c r="D14">
        <v>2022</v>
      </c>
      <c r="E14" t="s">
        <v>36</v>
      </c>
      <c r="F14" t="s">
        <v>44</v>
      </c>
      <c r="G14" t="s">
        <v>55</v>
      </c>
      <c r="H14" t="s">
        <v>77</v>
      </c>
      <c r="I14" t="s">
        <v>355</v>
      </c>
      <c r="J14">
        <f t="shared" si="0"/>
        <v>6</v>
      </c>
      <c r="K14" t="str">
        <f t="shared" si="1"/>
        <v>Not Out</v>
      </c>
      <c r="L14" t="s">
        <v>137</v>
      </c>
      <c r="M14" t="s">
        <v>85</v>
      </c>
      <c r="N14" t="s">
        <v>860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861</v>
      </c>
      <c r="B15" t="s">
        <v>862</v>
      </c>
      <c r="C15" t="s">
        <v>862</v>
      </c>
      <c r="D15">
        <v>2022</v>
      </c>
      <c r="E15" t="s">
        <v>95</v>
      </c>
      <c r="F15" t="s">
        <v>24</v>
      </c>
      <c r="G15" t="s">
        <v>44</v>
      </c>
      <c r="H15" t="s">
        <v>143</v>
      </c>
      <c r="I15" t="s">
        <v>303</v>
      </c>
      <c r="J15">
        <f t="shared" si="0"/>
        <v>3</v>
      </c>
      <c r="K15" t="str">
        <f t="shared" si="1"/>
        <v>Not Out</v>
      </c>
      <c r="L15" t="s">
        <v>475</v>
      </c>
      <c r="M15" t="s">
        <v>85</v>
      </c>
      <c r="N15" t="s">
        <v>476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</row>
    <row r="16" spans="1:19" x14ac:dyDescent="0.3">
      <c r="A16" t="s">
        <v>863</v>
      </c>
      <c r="B16" t="s">
        <v>864</v>
      </c>
      <c r="C16" t="s">
        <v>865</v>
      </c>
      <c r="D16">
        <v>2022</v>
      </c>
      <c r="E16" t="s">
        <v>108</v>
      </c>
      <c r="F16" t="s">
        <v>44</v>
      </c>
      <c r="G16" t="s">
        <v>55</v>
      </c>
      <c r="H16" t="s">
        <v>143</v>
      </c>
      <c r="I16" t="s">
        <v>474</v>
      </c>
      <c r="J16">
        <f t="shared" si="0"/>
        <v>7</v>
      </c>
      <c r="K16" t="str">
        <f t="shared" si="1"/>
        <v>Not Out</v>
      </c>
      <c r="L16" t="s">
        <v>475</v>
      </c>
      <c r="M16" t="s">
        <v>143</v>
      </c>
      <c r="N16" t="s">
        <v>232</v>
      </c>
      <c r="O16" t="s">
        <v>32</v>
      </c>
      <c r="P16" t="s">
        <v>55</v>
      </c>
      <c r="Q16" t="s">
        <v>55</v>
      </c>
      <c r="R16" t="s">
        <v>32</v>
      </c>
      <c r="S16" t="s">
        <v>32</v>
      </c>
    </row>
    <row r="17" spans="1:19" x14ac:dyDescent="0.3">
      <c r="A17" t="s">
        <v>866</v>
      </c>
      <c r="B17" t="s">
        <v>867</v>
      </c>
      <c r="C17" t="s">
        <v>867</v>
      </c>
      <c r="D17">
        <v>2022</v>
      </c>
      <c r="E17" t="s">
        <v>48</v>
      </c>
      <c r="F17" t="s">
        <v>44</v>
      </c>
      <c r="G17" t="s">
        <v>55</v>
      </c>
      <c r="H17" t="s">
        <v>95</v>
      </c>
      <c r="I17" t="s">
        <v>36</v>
      </c>
      <c r="J17">
        <f t="shared" si="0"/>
        <v>4</v>
      </c>
      <c r="K17" t="str">
        <f t="shared" si="1"/>
        <v>Out</v>
      </c>
      <c r="L17" t="s">
        <v>418</v>
      </c>
      <c r="M17" t="s">
        <v>95</v>
      </c>
      <c r="N17" t="s">
        <v>232</v>
      </c>
      <c r="O17" t="s">
        <v>55</v>
      </c>
      <c r="P17" t="s">
        <v>32</v>
      </c>
      <c r="Q17" t="s">
        <v>32</v>
      </c>
      <c r="R17" t="s">
        <v>32</v>
      </c>
      <c r="S17" t="s">
        <v>32</v>
      </c>
    </row>
    <row r="18" spans="1:19" x14ac:dyDescent="0.3">
      <c r="A18" t="s">
        <v>868</v>
      </c>
      <c r="B18" t="s">
        <v>869</v>
      </c>
      <c r="C18" t="s">
        <v>870</v>
      </c>
      <c r="D18">
        <v>2022</v>
      </c>
      <c r="E18" t="s">
        <v>44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  <row r="19" spans="1:19" x14ac:dyDescent="0.3">
      <c r="A19" t="s">
        <v>871</v>
      </c>
      <c r="B19" t="s">
        <v>872</v>
      </c>
      <c r="C19" t="s">
        <v>1029</v>
      </c>
      <c r="D19">
        <v>2022</v>
      </c>
      <c r="E19" t="s">
        <v>55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  <row r="20" spans="1:19" x14ac:dyDescent="0.3">
      <c r="A20" t="s">
        <v>873</v>
      </c>
      <c r="B20" t="s">
        <v>874</v>
      </c>
      <c r="C20" t="s">
        <v>875</v>
      </c>
      <c r="D20">
        <v>2022</v>
      </c>
      <c r="E20" t="s">
        <v>44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  <row r="21" spans="1:19" x14ac:dyDescent="0.3">
      <c r="A21" t="s">
        <v>876</v>
      </c>
      <c r="B21" t="s">
        <v>877</v>
      </c>
      <c r="C21" t="s">
        <v>878</v>
      </c>
      <c r="D21">
        <v>2022</v>
      </c>
      <c r="E21" t="s">
        <v>44</v>
      </c>
      <c r="F21" t="s">
        <v>157</v>
      </c>
      <c r="G21" t="s">
        <v>157</v>
      </c>
      <c r="H21" t="s">
        <v>157</v>
      </c>
      <c r="I21" t="s">
        <v>157</v>
      </c>
      <c r="J21" t="str">
        <f t="shared" si="0"/>
        <v>-</v>
      </c>
      <c r="K21" t="str">
        <f t="shared" si="1"/>
        <v>-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</row>
  </sheetData>
  <pageMargins left="0.75" right="0.75" top="1" bottom="1" header="0.5" footer="0.5"/>
  <ignoredErrors>
    <ignoredError sqref="A2:S18 A20:S21 A19:B19 D19:S19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9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3.8984375" bestFit="1" customWidth="1"/>
    <col min="3" max="3" width="28.89843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829</v>
      </c>
      <c r="B2" t="s">
        <v>830</v>
      </c>
      <c r="C2" t="s">
        <v>831</v>
      </c>
      <c r="D2">
        <v>2023</v>
      </c>
      <c r="E2" t="s">
        <v>22</v>
      </c>
      <c r="F2" t="s">
        <v>43</v>
      </c>
      <c r="G2" t="s">
        <v>44</v>
      </c>
      <c r="H2" t="s">
        <v>879</v>
      </c>
      <c r="I2" t="s">
        <v>880</v>
      </c>
      <c r="J2">
        <f t="shared" ref="J2:J19" si="0">IF(I2="-", "-", VALUE(SUBSTITUTE(I2,"*","")))</f>
        <v>92</v>
      </c>
      <c r="K2" t="str">
        <f t="shared" ref="K2:K19" si="1">IF(I2="-", "-", IF(ISNUMBER(FIND("*", I2)), "Not Out", "Out"))</f>
        <v>Not Out</v>
      </c>
      <c r="L2" t="s">
        <v>881</v>
      </c>
      <c r="M2" t="s">
        <v>882</v>
      </c>
      <c r="N2" t="s">
        <v>883</v>
      </c>
      <c r="O2" t="s">
        <v>585</v>
      </c>
      <c r="P2" t="s">
        <v>31</v>
      </c>
      <c r="Q2" t="s">
        <v>55</v>
      </c>
      <c r="R2" t="s">
        <v>95</v>
      </c>
      <c r="S2" t="s">
        <v>32</v>
      </c>
    </row>
    <row r="3" spans="1:19" x14ac:dyDescent="0.3">
      <c r="A3" t="s">
        <v>731</v>
      </c>
      <c r="B3" t="s">
        <v>732</v>
      </c>
      <c r="C3" t="s">
        <v>733</v>
      </c>
      <c r="D3">
        <v>2023</v>
      </c>
      <c r="E3" t="s">
        <v>22</v>
      </c>
      <c r="F3" t="s">
        <v>43</v>
      </c>
      <c r="G3" t="s">
        <v>55</v>
      </c>
      <c r="H3" t="s">
        <v>884</v>
      </c>
      <c r="I3" t="s">
        <v>885</v>
      </c>
      <c r="J3">
        <f t="shared" si="0"/>
        <v>92</v>
      </c>
      <c r="K3" t="str">
        <f t="shared" si="1"/>
        <v>Out</v>
      </c>
      <c r="L3" t="s">
        <v>886</v>
      </c>
      <c r="M3" t="s">
        <v>887</v>
      </c>
      <c r="N3" t="s">
        <v>888</v>
      </c>
      <c r="O3" t="s">
        <v>465</v>
      </c>
      <c r="P3" t="s">
        <v>214</v>
      </c>
      <c r="Q3" t="s">
        <v>32</v>
      </c>
      <c r="R3" t="s">
        <v>36</v>
      </c>
      <c r="S3" t="s">
        <v>32</v>
      </c>
    </row>
    <row r="4" spans="1:19" x14ac:dyDescent="0.3">
      <c r="A4" t="s">
        <v>818</v>
      </c>
      <c r="B4" t="s">
        <v>819</v>
      </c>
      <c r="C4" t="s">
        <v>820</v>
      </c>
      <c r="D4">
        <v>2023</v>
      </c>
      <c r="E4" t="s">
        <v>22</v>
      </c>
      <c r="F4" t="s">
        <v>23</v>
      </c>
      <c r="G4" t="s">
        <v>24</v>
      </c>
      <c r="H4" t="s">
        <v>889</v>
      </c>
      <c r="I4" t="s">
        <v>567</v>
      </c>
      <c r="J4">
        <f t="shared" si="0"/>
        <v>52</v>
      </c>
      <c r="K4" t="str">
        <f t="shared" si="1"/>
        <v>Out</v>
      </c>
      <c r="L4" t="s">
        <v>890</v>
      </c>
      <c r="M4" t="s">
        <v>386</v>
      </c>
      <c r="N4" t="s">
        <v>891</v>
      </c>
      <c r="O4" t="s">
        <v>104</v>
      </c>
      <c r="P4" t="s">
        <v>30</v>
      </c>
      <c r="Q4" t="s">
        <v>32</v>
      </c>
      <c r="R4" t="s">
        <v>24</v>
      </c>
      <c r="S4" t="s">
        <v>32</v>
      </c>
    </row>
    <row r="5" spans="1:19" x14ac:dyDescent="0.3">
      <c r="A5" t="s">
        <v>892</v>
      </c>
      <c r="B5" t="s">
        <v>893</v>
      </c>
      <c r="C5" t="s">
        <v>894</v>
      </c>
      <c r="D5">
        <v>2023</v>
      </c>
      <c r="E5" t="s">
        <v>23</v>
      </c>
      <c r="F5" t="s">
        <v>77</v>
      </c>
      <c r="G5" t="s">
        <v>55</v>
      </c>
      <c r="H5" t="s">
        <v>895</v>
      </c>
      <c r="I5" t="s">
        <v>325</v>
      </c>
      <c r="J5">
        <f t="shared" si="0"/>
        <v>71</v>
      </c>
      <c r="K5" t="str">
        <f t="shared" si="1"/>
        <v>Not Out</v>
      </c>
      <c r="L5" t="s">
        <v>896</v>
      </c>
      <c r="M5" t="s">
        <v>89</v>
      </c>
      <c r="N5" t="s">
        <v>897</v>
      </c>
      <c r="O5" t="s">
        <v>94</v>
      </c>
      <c r="P5" t="s">
        <v>22</v>
      </c>
      <c r="Q5" t="s">
        <v>32</v>
      </c>
      <c r="R5" t="s">
        <v>44</v>
      </c>
      <c r="S5" t="s">
        <v>32</v>
      </c>
    </row>
    <row r="6" spans="1:19" x14ac:dyDescent="0.3">
      <c r="A6" t="s">
        <v>406</v>
      </c>
      <c r="B6" t="s">
        <v>407</v>
      </c>
      <c r="C6" t="s">
        <v>408</v>
      </c>
      <c r="D6">
        <v>2023</v>
      </c>
      <c r="E6" t="s">
        <v>22</v>
      </c>
      <c r="F6" t="s">
        <v>104</v>
      </c>
      <c r="G6" t="s">
        <v>36</v>
      </c>
      <c r="H6" t="s">
        <v>898</v>
      </c>
      <c r="I6" t="s">
        <v>899</v>
      </c>
      <c r="J6">
        <f t="shared" si="0"/>
        <v>25</v>
      </c>
      <c r="K6" t="str">
        <f t="shared" si="1"/>
        <v>Not Out</v>
      </c>
      <c r="L6" t="s">
        <v>900</v>
      </c>
      <c r="M6" t="s">
        <v>901</v>
      </c>
      <c r="N6" t="s">
        <v>249</v>
      </c>
      <c r="O6" t="s">
        <v>77</v>
      </c>
      <c r="P6" t="s">
        <v>108</v>
      </c>
      <c r="Q6" t="s">
        <v>32</v>
      </c>
      <c r="R6" t="s">
        <v>32</v>
      </c>
      <c r="S6" t="s">
        <v>32</v>
      </c>
    </row>
    <row r="7" spans="1:19" x14ac:dyDescent="0.3">
      <c r="A7" t="s">
        <v>595</v>
      </c>
      <c r="B7" t="s">
        <v>596</v>
      </c>
      <c r="C7" t="s">
        <v>597</v>
      </c>
      <c r="D7">
        <v>2023</v>
      </c>
      <c r="E7" t="s">
        <v>22</v>
      </c>
      <c r="F7" t="s">
        <v>104</v>
      </c>
      <c r="G7" t="s">
        <v>44</v>
      </c>
      <c r="H7" t="s">
        <v>902</v>
      </c>
      <c r="I7" t="s">
        <v>632</v>
      </c>
      <c r="J7">
        <f t="shared" si="0"/>
        <v>27</v>
      </c>
      <c r="K7" t="str">
        <f t="shared" si="1"/>
        <v>Not Out</v>
      </c>
      <c r="L7" t="s">
        <v>903</v>
      </c>
      <c r="M7" t="s">
        <v>394</v>
      </c>
      <c r="N7" t="s">
        <v>904</v>
      </c>
      <c r="O7" t="s">
        <v>59</v>
      </c>
      <c r="P7" t="s">
        <v>108</v>
      </c>
      <c r="Q7" t="s">
        <v>55</v>
      </c>
      <c r="R7" t="s">
        <v>32</v>
      </c>
      <c r="S7" t="s">
        <v>32</v>
      </c>
    </row>
    <row r="8" spans="1:19" x14ac:dyDescent="0.3">
      <c r="A8" t="s">
        <v>778</v>
      </c>
      <c r="B8" t="s">
        <v>779</v>
      </c>
      <c r="C8" t="s">
        <v>780</v>
      </c>
      <c r="D8">
        <v>2023</v>
      </c>
      <c r="E8" t="s">
        <v>43</v>
      </c>
      <c r="F8" t="s">
        <v>59</v>
      </c>
      <c r="G8" t="s">
        <v>24</v>
      </c>
      <c r="H8" t="s">
        <v>455</v>
      </c>
      <c r="I8" t="s">
        <v>118</v>
      </c>
      <c r="J8">
        <f t="shared" si="0"/>
        <v>23</v>
      </c>
      <c r="K8" t="str">
        <f t="shared" si="1"/>
        <v>Out</v>
      </c>
      <c r="L8" t="s">
        <v>456</v>
      </c>
      <c r="M8" t="s">
        <v>623</v>
      </c>
      <c r="N8" t="s">
        <v>773</v>
      </c>
      <c r="O8" t="s">
        <v>104</v>
      </c>
      <c r="P8" t="s">
        <v>95</v>
      </c>
      <c r="Q8" t="s">
        <v>32</v>
      </c>
      <c r="R8" t="s">
        <v>32</v>
      </c>
      <c r="S8" t="s">
        <v>32</v>
      </c>
    </row>
    <row r="9" spans="1:19" x14ac:dyDescent="0.3">
      <c r="A9" t="s">
        <v>33</v>
      </c>
      <c r="B9" t="s">
        <v>34</v>
      </c>
      <c r="C9" t="s">
        <v>35</v>
      </c>
      <c r="D9">
        <v>2023</v>
      </c>
      <c r="E9" t="s">
        <v>22</v>
      </c>
      <c r="F9" t="s">
        <v>104</v>
      </c>
      <c r="G9" t="s">
        <v>85</v>
      </c>
      <c r="H9" t="s">
        <v>905</v>
      </c>
      <c r="I9" t="s">
        <v>906</v>
      </c>
      <c r="J9">
        <f t="shared" si="0"/>
        <v>32</v>
      </c>
      <c r="K9" t="str">
        <f t="shared" si="1"/>
        <v>Not Out</v>
      </c>
      <c r="L9" t="s">
        <v>907</v>
      </c>
      <c r="M9" t="s">
        <v>274</v>
      </c>
      <c r="N9" t="s">
        <v>908</v>
      </c>
      <c r="O9" t="s">
        <v>24</v>
      </c>
      <c r="P9" t="s">
        <v>59</v>
      </c>
      <c r="Q9" t="s">
        <v>55</v>
      </c>
      <c r="R9" t="s">
        <v>32</v>
      </c>
      <c r="S9" t="s">
        <v>32</v>
      </c>
    </row>
    <row r="10" spans="1:19" x14ac:dyDescent="0.3">
      <c r="A10" t="s">
        <v>909</v>
      </c>
      <c r="B10" t="s">
        <v>910</v>
      </c>
      <c r="C10" t="s">
        <v>911</v>
      </c>
      <c r="D10">
        <v>2023</v>
      </c>
      <c r="E10" t="s">
        <v>44</v>
      </c>
      <c r="F10" t="s">
        <v>44</v>
      </c>
      <c r="G10" t="s">
        <v>32</v>
      </c>
      <c r="H10" t="s">
        <v>43</v>
      </c>
      <c r="I10" t="s">
        <v>85</v>
      </c>
      <c r="J10">
        <f t="shared" si="0"/>
        <v>8</v>
      </c>
      <c r="K10" t="str">
        <f t="shared" si="1"/>
        <v>Out</v>
      </c>
      <c r="L10" t="s">
        <v>283</v>
      </c>
      <c r="M10" t="s">
        <v>23</v>
      </c>
      <c r="N10" t="s">
        <v>912</v>
      </c>
      <c r="O10" t="s">
        <v>44</v>
      </c>
      <c r="P10" t="s">
        <v>32</v>
      </c>
      <c r="Q10" t="s">
        <v>32</v>
      </c>
      <c r="R10" t="s">
        <v>32</v>
      </c>
      <c r="S10" t="s">
        <v>32</v>
      </c>
    </row>
    <row r="11" spans="1:19" x14ac:dyDescent="0.3">
      <c r="A11" t="s">
        <v>704</v>
      </c>
      <c r="B11" t="s">
        <v>705</v>
      </c>
      <c r="C11" t="s">
        <v>706</v>
      </c>
      <c r="D11">
        <v>2023</v>
      </c>
      <c r="E11" t="s">
        <v>24</v>
      </c>
      <c r="F11" t="s">
        <v>44</v>
      </c>
      <c r="G11" t="s">
        <v>44</v>
      </c>
      <c r="H11" t="s">
        <v>44</v>
      </c>
      <c r="I11" t="s">
        <v>239</v>
      </c>
      <c r="J11">
        <f t="shared" si="0"/>
        <v>1</v>
      </c>
      <c r="K11" t="str">
        <f t="shared" si="1"/>
        <v>Not Out</v>
      </c>
      <c r="L11" t="s">
        <v>157</v>
      </c>
      <c r="M11" t="s">
        <v>36</v>
      </c>
      <c r="N11" t="s">
        <v>306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</row>
    <row r="12" spans="1:19" x14ac:dyDescent="0.3">
      <c r="A12" t="s">
        <v>635</v>
      </c>
      <c r="B12" t="s">
        <v>636</v>
      </c>
      <c r="C12" t="s">
        <v>637</v>
      </c>
      <c r="D12">
        <v>2023</v>
      </c>
      <c r="E12" t="s">
        <v>59</v>
      </c>
      <c r="F12" t="s">
        <v>55</v>
      </c>
      <c r="G12" t="s">
        <v>55</v>
      </c>
      <c r="H12" t="s">
        <v>55</v>
      </c>
      <c r="I12" t="s">
        <v>239</v>
      </c>
      <c r="J12">
        <f t="shared" si="0"/>
        <v>1</v>
      </c>
      <c r="K12" t="str">
        <f t="shared" si="1"/>
        <v>Not Out</v>
      </c>
      <c r="L12" t="s">
        <v>157</v>
      </c>
      <c r="M12" t="s">
        <v>44</v>
      </c>
      <c r="N12" t="s">
        <v>306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</row>
    <row r="13" spans="1:19" x14ac:dyDescent="0.3">
      <c r="A13" t="s">
        <v>868</v>
      </c>
      <c r="B13" t="s">
        <v>869</v>
      </c>
      <c r="C13" t="s">
        <v>870</v>
      </c>
      <c r="D13">
        <v>2023</v>
      </c>
      <c r="E13" t="s">
        <v>22</v>
      </c>
      <c r="F13" t="s">
        <v>55</v>
      </c>
      <c r="G13" t="s">
        <v>55</v>
      </c>
      <c r="H13" t="s">
        <v>32</v>
      </c>
      <c r="I13" t="s">
        <v>244</v>
      </c>
      <c r="J13">
        <f t="shared" si="0"/>
        <v>0</v>
      </c>
      <c r="K13" t="str">
        <f t="shared" si="1"/>
        <v>Not Out</v>
      </c>
      <c r="L13" t="s">
        <v>157</v>
      </c>
      <c r="M13" t="s">
        <v>55</v>
      </c>
      <c r="N13" t="s">
        <v>148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913</v>
      </c>
      <c r="B14" t="s">
        <v>914</v>
      </c>
      <c r="C14" t="s">
        <v>914</v>
      </c>
      <c r="D14">
        <v>2023</v>
      </c>
      <c r="E14" t="s">
        <v>95</v>
      </c>
      <c r="F14" t="s">
        <v>157</v>
      </c>
      <c r="G14" t="s">
        <v>157</v>
      </c>
      <c r="H14" t="s">
        <v>157</v>
      </c>
      <c r="I14" t="s">
        <v>157</v>
      </c>
      <c r="J14" t="str">
        <f t="shared" si="0"/>
        <v>-</v>
      </c>
      <c r="K14" t="str">
        <f t="shared" si="1"/>
        <v>-</v>
      </c>
      <c r="L14" t="s">
        <v>157</v>
      </c>
      <c r="M14" t="s">
        <v>157</v>
      </c>
      <c r="N14" t="s">
        <v>157</v>
      </c>
      <c r="O14" t="s">
        <v>157</v>
      </c>
      <c r="P14" t="s">
        <v>157</v>
      </c>
      <c r="Q14" t="s">
        <v>157</v>
      </c>
      <c r="R14" t="s">
        <v>157</v>
      </c>
      <c r="S14" t="s">
        <v>157</v>
      </c>
    </row>
    <row r="15" spans="1:19" x14ac:dyDescent="0.3">
      <c r="A15" t="s">
        <v>915</v>
      </c>
      <c r="B15" t="s">
        <v>916</v>
      </c>
      <c r="C15" t="s">
        <v>917</v>
      </c>
      <c r="D15">
        <v>2023</v>
      </c>
      <c r="E15" t="s">
        <v>44</v>
      </c>
      <c r="F15" t="s">
        <v>157</v>
      </c>
      <c r="G15" t="s">
        <v>157</v>
      </c>
      <c r="H15" t="s">
        <v>157</v>
      </c>
      <c r="I15" t="s">
        <v>157</v>
      </c>
      <c r="J15" t="str">
        <f t="shared" si="0"/>
        <v>-</v>
      </c>
      <c r="K15" t="str">
        <f t="shared" si="1"/>
        <v>-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</row>
    <row r="16" spans="1:19" x14ac:dyDescent="0.3">
      <c r="A16" t="s">
        <v>918</v>
      </c>
      <c r="B16" t="s">
        <v>919</v>
      </c>
      <c r="C16" t="s">
        <v>920</v>
      </c>
      <c r="D16">
        <v>2023</v>
      </c>
      <c r="E16" t="s">
        <v>44</v>
      </c>
      <c r="F16" t="s">
        <v>157</v>
      </c>
      <c r="G16" t="s">
        <v>157</v>
      </c>
      <c r="H16" t="s">
        <v>157</v>
      </c>
      <c r="I16" t="s">
        <v>157</v>
      </c>
      <c r="J16" t="str">
        <f t="shared" si="0"/>
        <v>-</v>
      </c>
      <c r="K16" t="str">
        <f t="shared" si="1"/>
        <v>-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</row>
    <row r="17" spans="1:19" x14ac:dyDescent="0.3">
      <c r="A17" t="s">
        <v>873</v>
      </c>
      <c r="B17" t="s">
        <v>874</v>
      </c>
      <c r="C17" t="s">
        <v>875</v>
      </c>
      <c r="D17">
        <v>2023</v>
      </c>
      <c r="E17" t="s">
        <v>104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848</v>
      </c>
      <c r="B18" t="s">
        <v>849</v>
      </c>
      <c r="C18" t="s">
        <v>850</v>
      </c>
      <c r="D18">
        <v>2023</v>
      </c>
      <c r="E18" t="s">
        <v>55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  <row r="19" spans="1:19" x14ac:dyDescent="0.3">
      <c r="A19" t="s">
        <v>863</v>
      </c>
      <c r="B19" t="s">
        <v>864</v>
      </c>
      <c r="C19" t="s">
        <v>865</v>
      </c>
      <c r="D19">
        <v>2023</v>
      </c>
      <c r="E19" t="s">
        <v>48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20"/>
  <sheetViews>
    <sheetView workbookViewId="0">
      <selection activeCell="C22" sqref="C22"/>
    </sheetView>
  </sheetViews>
  <sheetFormatPr defaultRowHeight="15.6" x14ac:dyDescent="0.3"/>
  <cols>
    <col min="1" max="1" width="8.69921875" bestFit="1" customWidth="1"/>
    <col min="2" max="2" width="17.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4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731</v>
      </c>
      <c r="B2" t="s">
        <v>732</v>
      </c>
      <c r="C2" t="s">
        <v>733</v>
      </c>
      <c r="D2">
        <v>2024</v>
      </c>
      <c r="E2" t="s">
        <v>23</v>
      </c>
      <c r="F2" t="s">
        <v>23</v>
      </c>
      <c r="G2" t="s">
        <v>24</v>
      </c>
      <c r="H2" t="s">
        <v>921</v>
      </c>
      <c r="I2" t="s">
        <v>922</v>
      </c>
      <c r="J2">
        <f t="shared" ref="J2:J20" si="0">IF(I2="-", "-", VALUE(SUBSTITUTE(I2,"*","")))</f>
        <v>108</v>
      </c>
      <c r="K2" t="str">
        <f t="shared" ref="K2:K20" si="1">IF(I2="-", "-", IF(ISNUMBER(FIND("*", I2)), "Not Out", "Out"))</f>
        <v>Not Out</v>
      </c>
      <c r="L2" t="s">
        <v>923</v>
      </c>
      <c r="M2" t="s">
        <v>924</v>
      </c>
      <c r="N2" t="s">
        <v>925</v>
      </c>
      <c r="O2" t="s">
        <v>692</v>
      </c>
      <c r="P2" t="s">
        <v>31</v>
      </c>
      <c r="Q2" t="s">
        <v>44</v>
      </c>
      <c r="R2" t="s">
        <v>36</v>
      </c>
      <c r="S2" t="s">
        <v>55</v>
      </c>
    </row>
    <row r="3" spans="1:19" x14ac:dyDescent="0.3">
      <c r="A3" t="s">
        <v>818</v>
      </c>
      <c r="B3" t="s">
        <v>819</v>
      </c>
      <c r="C3" t="s">
        <v>820</v>
      </c>
      <c r="D3">
        <v>2024</v>
      </c>
      <c r="E3" t="s">
        <v>23</v>
      </c>
      <c r="F3" t="s">
        <v>23</v>
      </c>
      <c r="G3" t="s">
        <v>24</v>
      </c>
      <c r="H3" t="s">
        <v>324</v>
      </c>
      <c r="I3" t="s">
        <v>266</v>
      </c>
      <c r="J3">
        <f t="shared" si="0"/>
        <v>66</v>
      </c>
      <c r="K3" t="str">
        <f t="shared" si="1"/>
        <v>Not Out</v>
      </c>
      <c r="L3" t="s">
        <v>681</v>
      </c>
      <c r="M3" t="s">
        <v>836</v>
      </c>
      <c r="N3" t="s">
        <v>926</v>
      </c>
      <c r="O3" t="s">
        <v>402</v>
      </c>
      <c r="P3" t="s">
        <v>402</v>
      </c>
      <c r="Q3" t="s">
        <v>44</v>
      </c>
      <c r="R3" t="s">
        <v>24</v>
      </c>
      <c r="S3" t="s">
        <v>32</v>
      </c>
    </row>
    <row r="4" spans="1:19" x14ac:dyDescent="0.3">
      <c r="A4" t="s">
        <v>927</v>
      </c>
      <c r="B4" t="s">
        <v>928</v>
      </c>
      <c r="C4" t="s">
        <v>929</v>
      </c>
      <c r="D4">
        <v>2024</v>
      </c>
      <c r="E4" t="s">
        <v>48</v>
      </c>
      <c r="F4" t="s">
        <v>48</v>
      </c>
      <c r="G4" t="s">
        <v>44</v>
      </c>
      <c r="H4" t="s">
        <v>930</v>
      </c>
      <c r="I4" t="s">
        <v>350</v>
      </c>
      <c r="J4">
        <f t="shared" si="0"/>
        <v>63</v>
      </c>
      <c r="K4" t="str">
        <f t="shared" si="1"/>
        <v>Out</v>
      </c>
      <c r="L4" t="s">
        <v>822</v>
      </c>
      <c r="M4" t="s">
        <v>931</v>
      </c>
      <c r="N4" t="s">
        <v>932</v>
      </c>
      <c r="O4" t="s">
        <v>73</v>
      </c>
      <c r="P4" t="s">
        <v>59</v>
      </c>
      <c r="Q4" t="s">
        <v>32</v>
      </c>
      <c r="R4" t="s">
        <v>44</v>
      </c>
      <c r="S4" t="s">
        <v>32</v>
      </c>
    </row>
    <row r="5" spans="1:19" x14ac:dyDescent="0.3">
      <c r="A5" t="s">
        <v>406</v>
      </c>
      <c r="B5" t="s">
        <v>407</v>
      </c>
      <c r="C5" t="s">
        <v>408</v>
      </c>
      <c r="D5">
        <v>2024</v>
      </c>
      <c r="E5" t="s">
        <v>23</v>
      </c>
      <c r="F5" t="s">
        <v>77</v>
      </c>
      <c r="G5" t="s">
        <v>78</v>
      </c>
      <c r="H5" t="s">
        <v>396</v>
      </c>
      <c r="I5" t="s">
        <v>513</v>
      </c>
      <c r="J5">
        <f t="shared" si="0"/>
        <v>57</v>
      </c>
      <c r="K5" t="str">
        <f t="shared" si="1"/>
        <v>Not Out</v>
      </c>
      <c r="L5" t="s">
        <v>933</v>
      </c>
      <c r="M5" t="s">
        <v>934</v>
      </c>
      <c r="N5" t="s">
        <v>935</v>
      </c>
      <c r="O5" t="s">
        <v>164</v>
      </c>
      <c r="P5" t="s">
        <v>85</v>
      </c>
      <c r="Q5" t="s">
        <v>32</v>
      </c>
      <c r="R5" t="s">
        <v>55</v>
      </c>
      <c r="S5" t="s">
        <v>32</v>
      </c>
    </row>
    <row r="6" spans="1:19" x14ac:dyDescent="0.3">
      <c r="A6" t="s">
        <v>892</v>
      </c>
      <c r="B6" t="s">
        <v>893</v>
      </c>
      <c r="C6" t="s">
        <v>894</v>
      </c>
      <c r="D6">
        <v>2024</v>
      </c>
      <c r="E6" t="s">
        <v>48</v>
      </c>
      <c r="F6" t="s">
        <v>104</v>
      </c>
      <c r="G6" t="s">
        <v>32</v>
      </c>
      <c r="H6" t="s">
        <v>936</v>
      </c>
      <c r="I6" t="s">
        <v>69</v>
      </c>
      <c r="J6">
        <f t="shared" si="0"/>
        <v>45</v>
      </c>
      <c r="K6" t="str">
        <f t="shared" si="1"/>
        <v>Out</v>
      </c>
      <c r="L6" t="s">
        <v>937</v>
      </c>
      <c r="M6" t="s">
        <v>68</v>
      </c>
      <c r="N6" t="s">
        <v>938</v>
      </c>
      <c r="O6" t="s">
        <v>118</v>
      </c>
      <c r="P6" t="s">
        <v>143</v>
      </c>
      <c r="Q6" t="s">
        <v>32</v>
      </c>
      <c r="R6" t="s">
        <v>32</v>
      </c>
      <c r="S6" t="s">
        <v>32</v>
      </c>
    </row>
    <row r="7" spans="1:19" x14ac:dyDescent="0.3">
      <c r="A7" t="s">
        <v>102</v>
      </c>
      <c r="B7" t="s">
        <v>939</v>
      </c>
      <c r="C7" t="s">
        <v>940</v>
      </c>
      <c r="D7">
        <v>2024</v>
      </c>
      <c r="E7" t="s">
        <v>59</v>
      </c>
      <c r="F7" t="s">
        <v>59</v>
      </c>
      <c r="G7" t="s">
        <v>32</v>
      </c>
      <c r="H7" t="s">
        <v>941</v>
      </c>
      <c r="I7" t="s">
        <v>702</v>
      </c>
      <c r="J7">
        <f t="shared" si="0"/>
        <v>61</v>
      </c>
      <c r="K7" t="str">
        <f t="shared" si="1"/>
        <v>Out</v>
      </c>
      <c r="L7" t="s">
        <v>942</v>
      </c>
      <c r="M7" t="s">
        <v>335</v>
      </c>
      <c r="N7" t="s">
        <v>943</v>
      </c>
      <c r="O7" t="s">
        <v>164</v>
      </c>
      <c r="P7" t="s">
        <v>104</v>
      </c>
      <c r="Q7" t="s">
        <v>55</v>
      </c>
      <c r="R7" t="s">
        <v>55</v>
      </c>
      <c r="S7" t="s">
        <v>32</v>
      </c>
    </row>
    <row r="8" spans="1:19" x14ac:dyDescent="0.3">
      <c r="A8" t="s">
        <v>33</v>
      </c>
      <c r="B8" t="s">
        <v>34</v>
      </c>
      <c r="C8" t="s">
        <v>35</v>
      </c>
      <c r="D8">
        <v>2024</v>
      </c>
      <c r="E8" t="s">
        <v>23</v>
      </c>
      <c r="F8" t="s">
        <v>77</v>
      </c>
      <c r="G8" t="s">
        <v>85</v>
      </c>
      <c r="H8" t="s">
        <v>944</v>
      </c>
      <c r="I8" t="s">
        <v>945</v>
      </c>
      <c r="J8">
        <f t="shared" si="0"/>
        <v>37</v>
      </c>
      <c r="K8" t="str">
        <f t="shared" si="1"/>
        <v>Not Out</v>
      </c>
      <c r="L8" t="s">
        <v>946</v>
      </c>
      <c r="M8" t="s">
        <v>372</v>
      </c>
      <c r="N8" t="s">
        <v>947</v>
      </c>
      <c r="O8" t="s">
        <v>23</v>
      </c>
      <c r="P8" t="s">
        <v>48</v>
      </c>
      <c r="Q8" t="s">
        <v>55</v>
      </c>
      <c r="R8" t="s">
        <v>32</v>
      </c>
      <c r="S8" t="s">
        <v>32</v>
      </c>
    </row>
    <row r="9" spans="1:19" x14ac:dyDescent="0.3">
      <c r="A9" t="s">
        <v>778</v>
      </c>
      <c r="B9" t="s">
        <v>779</v>
      </c>
      <c r="C9" t="s">
        <v>780</v>
      </c>
      <c r="D9">
        <v>2024</v>
      </c>
      <c r="E9" t="s">
        <v>85</v>
      </c>
      <c r="F9" t="s">
        <v>78</v>
      </c>
      <c r="G9" t="s">
        <v>32</v>
      </c>
      <c r="H9" t="s">
        <v>796</v>
      </c>
      <c r="I9" t="s">
        <v>398</v>
      </c>
      <c r="J9">
        <f t="shared" si="0"/>
        <v>56</v>
      </c>
      <c r="K9" t="str">
        <f t="shared" si="1"/>
        <v>Out</v>
      </c>
      <c r="L9" t="s">
        <v>948</v>
      </c>
      <c r="M9" t="s">
        <v>166</v>
      </c>
      <c r="N9" t="s">
        <v>949</v>
      </c>
      <c r="O9" t="s">
        <v>143</v>
      </c>
      <c r="P9" t="s">
        <v>85</v>
      </c>
      <c r="Q9" t="s">
        <v>32</v>
      </c>
      <c r="R9" t="s">
        <v>55</v>
      </c>
      <c r="S9" t="s">
        <v>32</v>
      </c>
    </row>
    <row r="10" spans="1:19" x14ac:dyDescent="0.3">
      <c r="A10" t="s">
        <v>950</v>
      </c>
      <c r="B10" t="s">
        <v>951</v>
      </c>
      <c r="C10" t="s">
        <v>951</v>
      </c>
      <c r="D10">
        <v>2024</v>
      </c>
      <c r="E10" t="s">
        <v>85</v>
      </c>
      <c r="F10" t="s">
        <v>78</v>
      </c>
      <c r="G10" t="s">
        <v>55</v>
      </c>
      <c r="H10" t="s">
        <v>505</v>
      </c>
      <c r="I10" t="s">
        <v>84</v>
      </c>
      <c r="J10">
        <f t="shared" si="0"/>
        <v>21</v>
      </c>
      <c r="K10" t="str">
        <f t="shared" si="1"/>
        <v>Out</v>
      </c>
      <c r="L10" t="s">
        <v>952</v>
      </c>
      <c r="M10" t="s">
        <v>756</v>
      </c>
      <c r="N10" t="s">
        <v>953</v>
      </c>
      <c r="O10" t="s">
        <v>36</v>
      </c>
      <c r="P10" t="s">
        <v>44</v>
      </c>
      <c r="Q10" t="s">
        <v>55</v>
      </c>
      <c r="R10" t="s">
        <v>32</v>
      </c>
      <c r="S10" t="s">
        <v>32</v>
      </c>
    </row>
    <row r="11" spans="1:19" x14ac:dyDescent="0.3">
      <c r="A11" t="s">
        <v>648</v>
      </c>
      <c r="B11" t="s">
        <v>649</v>
      </c>
      <c r="C11" t="s">
        <v>650</v>
      </c>
      <c r="D11">
        <v>2024</v>
      </c>
      <c r="E11" t="s">
        <v>108</v>
      </c>
      <c r="F11" t="s">
        <v>24</v>
      </c>
      <c r="G11" t="s">
        <v>44</v>
      </c>
      <c r="H11" t="s">
        <v>84</v>
      </c>
      <c r="I11" t="s">
        <v>297</v>
      </c>
      <c r="J11">
        <f t="shared" si="0"/>
        <v>17</v>
      </c>
      <c r="K11" t="str">
        <f t="shared" si="1"/>
        <v>Out</v>
      </c>
      <c r="L11" t="s">
        <v>954</v>
      </c>
      <c r="M11" t="s">
        <v>297</v>
      </c>
      <c r="N11" t="s">
        <v>955</v>
      </c>
      <c r="O11" t="s">
        <v>44</v>
      </c>
      <c r="P11" t="s">
        <v>55</v>
      </c>
      <c r="Q11" t="s">
        <v>32</v>
      </c>
      <c r="R11" t="s">
        <v>32</v>
      </c>
      <c r="S11" t="s">
        <v>32</v>
      </c>
    </row>
    <row r="12" spans="1:19" x14ac:dyDescent="0.3">
      <c r="A12" t="s">
        <v>704</v>
      </c>
      <c r="B12" t="s">
        <v>705</v>
      </c>
      <c r="C12" t="s">
        <v>706</v>
      </c>
      <c r="D12">
        <v>2024</v>
      </c>
      <c r="E12" t="s">
        <v>24</v>
      </c>
      <c r="F12" t="s">
        <v>24</v>
      </c>
      <c r="G12" t="s">
        <v>32</v>
      </c>
      <c r="H12" t="s">
        <v>23</v>
      </c>
      <c r="I12" t="s">
        <v>77</v>
      </c>
      <c r="J12">
        <f t="shared" si="0"/>
        <v>11</v>
      </c>
      <c r="K12" t="str">
        <f t="shared" si="1"/>
        <v>Out</v>
      </c>
      <c r="L12" t="s">
        <v>956</v>
      </c>
      <c r="M12" t="s">
        <v>297</v>
      </c>
      <c r="N12" t="s">
        <v>957</v>
      </c>
      <c r="O12" t="s">
        <v>55</v>
      </c>
      <c r="P12" t="s">
        <v>32</v>
      </c>
      <c r="Q12" t="s">
        <v>55</v>
      </c>
      <c r="R12" t="s">
        <v>32</v>
      </c>
      <c r="S12" t="s">
        <v>32</v>
      </c>
    </row>
    <row r="13" spans="1:19" x14ac:dyDescent="0.3">
      <c r="A13" t="s">
        <v>338</v>
      </c>
      <c r="B13" t="s">
        <v>958</v>
      </c>
      <c r="C13" t="s">
        <v>959</v>
      </c>
      <c r="D13">
        <v>2024</v>
      </c>
      <c r="E13" t="s">
        <v>44</v>
      </c>
      <c r="F13" t="s">
        <v>55</v>
      </c>
      <c r="G13" t="s">
        <v>55</v>
      </c>
      <c r="H13" t="s">
        <v>44</v>
      </c>
      <c r="I13" t="s">
        <v>233</v>
      </c>
      <c r="J13">
        <f t="shared" si="0"/>
        <v>2</v>
      </c>
      <c r="K13" t="str">
        <f t="shared" si="1"/>
        <v>Not Out</v>
      </c>
      <c r="L13" t="s">
        <v>157</v>
      </c>
      <c r="M13" t="s">
        <v>44</v>
      </c>
      <c r="N13" t="s">
        <v>232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</row>
    <row r="14" spans="1:19" x14ac:dyDescent="0.3">
      <c r="A14" t="s">
        <v>868</v>
      </c>
      <c r="B14" t="s">
        <v>869</v>
      </c>
      <c r="C14" t="s">
        <v>870</v>
      </c>
      <c r="D14">
        <v>2024</v>
      </c>
      <c r="E14" t="s">
        <v>48</v>
      </c>
      <c r="F14" t="s">
        <v>55</v>
      </c>
      <c r="G14" t="s">
        <v>55</v>
      </c>
      <c r="H14" t="s">
        <v>32</v>
      </c>
      <c r="I14" t="s">
        <v>244</v>
      </c>
      <c r="J14">
        <f t="shared" si="0"/>
        <v>0</v>
      </c>
      <c r="K14" t="str">
        <f t="shared" si="1"/>
        <v>Not Out</v>
      </c>
      <c r="L14" t="s">
        <v>157</v>
      </c>
      <c r="M14" t="s">
        <v>55</v>
      </c>
      <c r="N14" t="s">
        <v>148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</row>
    <row r="15" spans="1:19" x14ac:dyDescent="0.3">
      <c r="A15" t="s">
        <v>635</v>
      </c>
      <c r="B15" t="s">
        <v>636</v>
      </c>
      <c r="C15" t="s">
        <v>637</v>
      </c>
      <c r="D15">
        <v>2024</v>
      </c>
      <c r="E15" t="s">
        <v>85</v>
      </c>
      <c r="F15" t="s">
        <v>157</v>
      </c>
      <c r="G15" t="s">
        <v>157</v>
      </c>
      <c r="H15" t="s">
        <v>157</v>
      </c>
      <c r="I15" t="s">
        <v>157</v>
      </c>
      <c r="J15" t="str">
        <f t="shared" si="0"/>
        <v>-</v>
      </c>
      <c r="K15" t="str">
        <f t="shared" si="1"/>
        <v>-</v>
      </c>
      <c r="L15" t="s">
        <v>157</v>
      </c>
      <c r="M15" t="s">
        <v>157</v>
      </c>
      <c r="N15" t="s">
        <v>157</v>
      </c>
      <c r="O15" t="s">
        <v>157</v>
      </c>
      <c r="P15" t="s">
        <v>157</v>
      </c>
      <c r="Q15" t="s">
        <v>157</v>
      </c>
      <c r="R15" t="s">
        <v>157</v>
      </c>
      <c r="S15" t="s">
        <v>157</v>
      </c>
    </row>
    <row r="16" spans="1:19" x14ac:dyDescent="0.3">
      <c r="A16" t="s">
        <v>866</v>
      </c>
      <c r="B16" t="s">
        <v>867</v>
      </c>
      <c r="C16" t="s">
        <v>867</v>
      </c>
      <c r="D16">
        <v>2024</v>
      </c>
      <c r="E16" t="s">
        <v>55</v>
      </c>
      <c r="F16" t="s">
        <v>157</v>
      </c>
      <c r="G16" t="s">
        <v>157</v>
      </c>
      <c r="H16" t="s">
        <v>157</v>
      </c>
      <c r="I16" t="s">
        <v>157</v>
      </c>
      <c r="J16" t="str">
        <f t="shared" si="0"/>
        <v>-</v>
      </c>
      <c r="K16" t="str">
        <f t="shared" si="1"/>
        <v>-</v>
      </c>
      <c r="L16" t="s">
        <v>157</v>
      </c>
      <c r="M16" t="s">
        <v>157</v>
      </c>
      <c r="N16" t="s">
        <v>157</v>
      </c>
      <c r="O16" t="s">
        <v>157</v>
      </c>
      <c r="P16" t="s">
        <v>157</v>
      </c>
      <c r="Q16" t="s">
        <v>157</v>
      </c>
      <c r="R16" t="s">
        <v>157</v>
      </c>
      <c r="S16" t="s">
        <v>157</v>
      </c>
    </row>
    <row r="17" spans="1:19" x14ac:dyDescent="0.3">
      <c r="A17" t="s">
        <v>960</v>
      </c>
      <c r="B17" t="s">
        <v>961</v>
      </c>
      <c r="C17" t="s">
        <v>961</v>
      </c>
      <c r="D17">
        <v>2024</v>
      </c>
      <c r="E17" t="s">
        <v>108</v>
      </c>
      <c r="F17" t="s">
        <v>157</v>
      </c>
      <c r="G17" t="s">
        <v>157</v>
      </c>
      <c r="H17" t="s">
        <v>157</v>
      </c>
      <c r="I17" t="s">
        <v>157</v>
      </c>
      <c r="J17" t="str">
        <f t="shared" si="0"/>
        <v>-</v>
      </c>
      <c r="K17" t="str">
        <f t="shared" si="1"/>
        <v>-</v>
      </c>
      <c r="L17" t="s">
        <v>157</v>
      </c>
      <c r="M17" t="s">
        <v>157</v>
      </c>
      <c r="N17" t="s">
        <v>157</v>
      </c>
      <c r="O17" t="s">
        <v>157</v>
      </c>
      <c r="P17" t="s">
        <v>157</v>
      </c>
      <c r="Q17" t="s">
        <v>157</v>
      </c>
      <c r="R17" t="s">
        <v>157</v>
      </c>
      <c r="S17" t="s">
        <v>157</v>
      </c>
    </row>
    <row r="18" spans="1:19" x14ac:dyDescent="0.3">
      <c r="A18" t="s">
        <v>873</v>
      </c>
      <c r="B18" t="s">
        <v>874</v>
      </c>
      <c r="C18" t="s">
        <v>875</v>
      </c>
      <c r="D18">
        <v>2024</v>
      </c>
      <c r="E18" t="s">
        <v>95</v>
      </c>
      <c r="F18" t="s">
        <v>157</v>
      </c>
      <c r="G18" t="s">
        <v>157</v>
      </c>
      <c r="H18" t="s">
        <v>157</v>
      </c>
      <c r="I18" t="s">
        <v>157</v>
      </c>
      <c r="J18" t="str">
        <f t="shared" si="0"/>
        <v>-</v>
      </c>
      <c r="K18" t="str">
        <f t="shared" si="1"/>
        <v>-</v>
      </c>
      <c r="L18" t="s">
        <v>157</v>
      </c>
      <c r="M18" t="s">
        <v>157</v>
      </c>
      <c r="N18" t="s">
        <v>157</v>
      </c>
      <c r="O18" t="s">
        <v>157</v>
      </c>
      <c r="P18" t="s">
        <v>157</v>
      </c>
      <c r="Q18" t="s">
        <v>157</v>
      </c>
      <c r="R18" t="s">
        <v>157</v>
      </c>
      <c r="S18" t="s">
        <v>157</v>
      </c>
    </row>
    <row r="19" spans="1:19" x14ac:dyDescent="0.3">
      <c r="A19" t="s">
        <v>861</v>
      </c>
      <c r="B19" t="s">
        <v>862</v>
      </c>
      <c r="C19" t="s">
        <v>862</v>
      </c>
      <c r="D19">
        <v>2024</v>
      </c>
      <c r="E19" t="s">
        <v>36</v>
      </c>
      <c r="F19" t="s">
        <v>157</v>
      </c>
      <c r="G19" t="s">
        <v>157</v>
      </c>
      <c r="H19" t="s">
        <v>157</v>
      </c>
      <c r="I19" t="s">
        <v>157</v>
      </c>
      <c r="J19" t="str">
        <f t="shared" si="0"/>
        <v>-</v>
      </c>
      <c r="K19" t="str">
        <f t="shared" si="1"/>
        <v>-</v>
      </c>
      <c r="L19" t="s">
        <v>157</v>
      </c>
      <c r="M19" t="s">
        <v>157</v>
      </c>
      <c r="N19" t="s">
        <v>157</v>
      </c>
      <c r="O19" t="s">
        <v>157</v>
      </c>
      <c r="P19" t="s">
        <v>157</v>
      </c>
      <c r="Q19" t="s">
        <v>157</v>
      </c>
      <c r="R19" t="s">
        <v>157</v>
      </c>
      <c r="S19" t="s">
        <v>157</v>
      </c>
    </row>
    <row r="20" spans="1:19" x14ac:dyDescent="0.3">
      <c r="A20" t="s">
        <v>863</v>
      </c>
      <c r="B20" t="s">
        <v>864</v>
      </c>
      <c r="C20" t="s">
        <v>865</v>
      </c>
      <c r="D20">
        <v>2024</v>
      </c>
      <c r="E20" t="s">
        <v>78</v>
      </c>
      <c r="F20" t="s">
        <v>157</v>
      </c>
      <c r="G20" t="s">
        <v>157</v>
      </c>
      <c r="H20" t="s">
        <v>157</v>
      </c>
      <c r="I20" t="s">
        <v>157</v>
      </c>
      <c r="J20" t="str">
        <f t="shared" si="0"/>
        <v>-</v>
      </c>
      <c r="K20" t="str">
        <f t="shared" si="1"/>
        <v>-</v>
      </c>
      <c r="L20" t="s">
        <v>157</v>
      </c>
      <c r="M20" t="s">
        <v>157</v>
      </c>
      <c r="N20" t="s">
        <v>157</v>
      </c>
      <c r="O20" t="s">
        <v>157</v>
      </c>
      <c r="P20" t="s">
        <v>157</v>
      </c>
      <c r="Q20" t="s">
        <v>157</v>
      </c>
      <c r="R20" t="s">
        <v>157</v>
      </c>
      <c r="S20" t="s">
        <v>157</v>
      </c>
    </row>
  </sheetData>
  <pageMargins left="0.75" right="0.75" top="1" bottom="1" header="0.5" footer="0.5"/>
  <ignoredErrors>
    <ignoredError sqref="A2:S20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3"/>
  <sheetViews>
    <sheetView workbookViewId="0">
      <selection activeCell="C4" sqref="C4"/>
    </sheetView>
  </sheetViews>
  <sheetFormatPr defaultRowHeight="15.6" x14ac:dyDescent="0.3"/>
  <cols>
    <col min="1" max="1" width="8.69921875" bestFit="1" customWidth="1"/>
    <col min="2" max="2" width="17.3984375" bestFit="1" customWidth="1"/>
    <col min="3" max="3" width="28.69921875" bestFit="1" customWidth="1"/>
    <col min="4" max="4" width="6.796875" bestFit="1" customWidth="1"/>
    <col min="5" max="5" width="4.296875" bestFit="1" customWidth="1"/>
    <col min="6" max="6" width="4.3984375" bestFit="1" customWidth="1"/>
    <col min="7" max="7" width="3.5" bestFit="1" customWidth="1"/>
    <col min="8" max="8" width="5" bestFit="1" customWidth="1"/>
    <col min="9" max="9" width="3.8984375" bestFit="1" customWidth="1"/>
    <col min="10" max="10" width="11" bestFit="1" customWidth="1"/>
    <col min="11" max="11" width="14.09765625" bestFit="1" customWidth="1"/>
    <col min="12" max="12" width="5.3984375" bestFit="1" customWidth="1"/>
    <col min="13" max="13" width="3.8984375" bestFit="1" customWidth="1"/>
    <col min="14" max="14" width="6.3984375" bestFit="1" customWidth="1"/>
    <col min="15" max="15" width="5.5" bestFit="1" customWidth="1"/>
    <col min="16" max="16" width="5" bestFit="1" customWidth="1"/>
    <col min="17" max="17" width="5.69921875" bestFit="1" customWidth="1"/>
    <col min="18" max="18" width="5.8984375" bestFit="1" customWidth="1"/>
    <col min="19" max="19" width="9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3">
      <c r="A2" t="s">
        <v>818</v>
      </c>
      <c r="B2" t="s">
        <v>819</v>
      </c>
      <c r="C2" t="s">
        <v>820</v>
      </c>
      <c r="D2">
        <v>2025</v>
      </c>
      <c r="E2" t="s">
        <v>23</v>
      </c>
      <c r="F2" t="s">
        <v>23</v>
      </c>
      <c r="G2" t="s">
        <v>24</v>
      </c>
      <c r="H2" t="s">
        <v>781</v>
      </c>
      <c r="I2" t="s">
        <v>438</v>
      </c>
      <c r="J2">
        <f t="shared" ref="J2:J23" si="0">IF(I2="-", "-", VALUE(SUBSTITUTE(I2,"*","")))</f>
        <v>50</v>
      </c>
      <c r="K2" t="str">
        <f t="shared" ref="K2:K23" si="1">IF(I2="-", "-", IF(ISNUMBER(FIND("*", I2)), "Not Out", "Out"))</f>
        <v>Out</v>
      </c>
      <c r="L2" t="s">
        <v>962</v>
      </c>
      <c r="M2" t="s">
        <v>963</v>
      </c>
      <c r="N2" t="s">
        <v>964</v>
      </c>
      <c r="O2" t="s">
        <v>164</v>
      </c>
      <c r="P2" t="s">
        <v>84</v>
      </c>
      <c r="Q2" t="s">
        <v>32</v>
      </c>
      <c r="R2" t="s">
        <v>55</v>
      </c>
      <c r="S2" t="s">
        <v>32</v>
      </c>
    </row>
    <row r="3" spans="1:19" x14ac:dyDescent="0.3">
      <c r="A3" t="s">
        <v>406</v>
      </c>
      <c r="B3" t="s">
        <v>407</v>
      </c>
      <c r="C3" t="s">
        <v>408</v>
      </c>
      <c r="D3">
        <v>2025</v>
      </c>
      <c r="E3" t="s">
        <v>23</v>
      </c>
      <c r="F3" t="s">
        <v>23</v>
      </c>
      <c r="G3" t="s">
        <v>78</v>
      </c>
      <c r="H3" t="s">
        <v>965</v>
      </c>
      <c r="I3" t="s">
        <v>966</v>
      </c>
      <c r="J3">
        <f t="shared" si="0"/>
        <v>77</v>
      </c>
      <c r="K3" t="str">
        <f t="shared" si="1"/>
        <v>Not Out</v>
      </c>
      <c r="L3" t="s">
        <v>967</v>
      </c>
      <c r="M3" t="s">
        <v>941</v>
      </c>
      <c r="N3" t="s">
        <v>968</v>
      </c>
      <c r="O3" t="s">
        <v>334</v>
      </c>
      <c r="P3" t="s">
        <v>59</v>
      </c>
      <c r="Q3" t="s">
        <v>55</v>
      </c>
      <c r="R3" t="s">
        <v>44</v>
      </c>
      <c r="S3" t="s">
        <v>32</v>
      </c>
    </row>
    <row r="4" spans="1:19" x14ac:dyDescent="0.3">
      <c r="A4" t="s">
        <v>905</v>
      </c>
      <c r="B4" t="s">
        <v>969</v>
      </c>
      <c r="C4" t="s">
        <v>1028</v>
      </c>
      <c r="D4">
        <v>2025</v>
      </c>
      <c r="E4" t="s">
        <v>143</v>
      </c>
      <c r="F4" t="s">
        <v>143</v>
      </c>
      <c r="G4" t="s">
        <v>32</v>
      </c>
      <c r="H4" t="s">
        <v>970</v>
      </c>
      <c r="I4" t="s">
        <v>532</v>
      </c>
      <c r="J4">
        <f t="shared" si="0"/>
        <v>94</v>
      </c>
      <c r="K4" t="str">
        <f t="shared" si="1"/>
        <v>Out</v>
      </c>
      <c r="L4" t="s">
        <v>971</v>
      </c>
      <c r="M4" t="s">
        <v>251</v>
      </c>
      <c r="N4" t="s">
        <v>972</v>
      </c>
      <c r="O4" t="s">
        <v>207</v>
      </c>
      <c r="P4" t="s">
        <v>77</v>
      </c>
      <c r="Q4" t="s">
        <v>55</v>
      </c>
      <c r="R4" t="s">
        <v>55</v>
      </c>
      <c r="S4" t="s">
        <v>32</v>
      </c>
    </row>
    <row r="5" spans="1:19" x14ac:dyDescent="0.3">
      <c r="A5" t="s">
        <v>973</v>
      </c>
      <c r="B5" t="s">
        <v>974</v>
      </c>
      <c r="C5" t="s">
        <v>975</v>
      </c>
      <c r="D5">
        <v>2025</v>
      </c>
      <c r="E5" t="s">
        <v>95</v>
      </c>
      <c r="F5" t="s">
        <v>95</v>
      </c>
      <c r="G5" t="s">
        <v>32</v>
      </c>
      <c r="H5" t="s">
        <v>976</v>
      </c>
      <c r="I5" t="s">
        <v>274</v>
      </c>
      <c r="J5">
        <f t="shared" si="0"/>
        <v>57</v>
      </c>
      <c r="K5" t="str">
        <f t="shared" si="1"/>
        <v>Out</v>
      </c>
      <c r="L5" t="s">
        <v>977</v>
      </c>
      <c r="M5" t="s">
        <v>978</v>
      </c>
      <c r="N5" t="s">
        <v>979</v>
      </c>
      <c r="O5" t="s">
        <v>48</v>
      </c>
      <c r="P5" t="s">
        <v>297</v>
      </c>
      <c r="Q5" t="s">
        <v>55</v>
      </c>
      <c r="R5" t="s">
        <v>44</v>
      </c>
      <c r="S5" t="s">
        <v>32</v>
      </c>
    </row>
    <row r="6" spans="1:19" x14ac:dyDescent="0.3">
      <c r="A6" t="s">
        <v>33</v>
      </c>
      <c r="B6" t="s">
        <v>34</v>
      </c>
      <c r="C6" t="s">
        <v>35</v>
      </c>
      <c r="D6">
        <v>2025</v>
      </c>
      <c r="E6" t="s">
        <v>23</v>
      </c>
      <c r="F6" t="s">
        <v>48</v>
      </c>
      <c r="G6" t="s">
        <v>78</v>
      </c>
      <c r="H6" t="s">
        <v>68</v>
      </c>
      <c r="I6" t="s">
        <v>336</v>
      </c>
      <c r="J6">
        <f t="shared" si="0"/>
        <v>30</v>
      </c>
      <c r="K6" t="str">
        <f t="shared" si="1"/>
        <v>Not Out</v>
      </c>
      <c r="L6" t="s">
        <v>980</v>
      </c>
      <c r="M6" t="s">
        <v>109</v>
      </c>
      <c r="N6" t="s">
        <v>981</v>
      </c>
      <c r="O6" t="s">
        <v>104</v>
      </c>
      <c r="P6" t="s">
        <v>104</v>
      </c>
      <c r="Q6" t="s">
        <v>32</v>
      </c>
      <c r="R6" t="s">
        <v>32</v>
      </c>
      <c r="S6" t="s">
        <v>32</v>
      </c>
    </row>
    <row r="7" spans="1:19" x14ac:dyDescent="0.3">
      <c r="A7" t="s">
        <v>102</v>
      </c>
      <c r="B7" t="s">
        <v>939</v>
      </c>
      <c r="C7" t="s">
        <v>940</v>
      </c>
      <c r="D7">
        <v>2025</v>
      </c>
      <c r="E7" t="s">
        <v>85</v>
      </c>
      <c r="F7" t="s">
        <v>85</v>
      </c>
      <c r="G7" t="s">
        <v>55</v>
      </c>
      <c r="H7" t="s">
        <v>409</v>
      </c>
      <c r="I7" t="s">
        <v>982</v>
      </c>
      <c r="J7">
        <f t="shared" si="0"/>
        <v>65</v>
      </c>
      <c r="K7" t="str">
        <f t="shared" si="1"/>
        <v>Not Out</v>
      </c>
      <c r="L7" t="s">
        <v>983</v>
      </c>
      <c r="M7" t="s">
        <v>984</v>
      </c>
      <c r="N7" t="s">
        <v>985</v>
      </c>
      <c r="O7" t="s">
        <v>31</v>
      </c>
      <c r="P7" t="s">
        <v>36</v>
      </c>
      <c r="Q7" t="s">
        <v>55</v>
      </c>
      <c r="R7" t="s">
        <v>55</v>
      </c>
      <c r="S7" t="s">
        <v>32</v>
      </c>
    </row>
    <row r="8" spans="1:19" x14ac:dyDescent="0.3">
      <c r="A8" t="s">
        <v>829</v>
      </c>
      <c r="B8" t="s">
        <v>830</v>
      </c>
      <c r="C8" t="s">
        <v>831</v>
      </c>
      <c r="D8">
        <v>2025</v>
      </c>
      <c r="E8" t="s">
        <v>95</v>
      </c>
      <c r="F8" t="s">
        <v>95</v>
      </c>
      <c r="G8" t="s">
        <v>32</v>
      </c>
      <c r="H8" t="s">
        <v>792</v>
      </c>
      <c r="I8" t="s">
        <v>986</v>
      </c>
      <c r="J8">
        <f t="shared" si="0"/>
        <v>69</v>
      </c>
      <c r="K8" t="str">
        <f t="shared" si="1"/>
        <v>Out</v>
      </c>
      <c r="L8" t="s">
        <v>907</v>
      </c>
      <c r="M8" t="s">
        <v>987</v>
      </c>
      <c r="N8" t="s">
        <v>988</v>
      </c>
      <c r="O8" t="s">
        <v>297</v>
      </c>
      <c r="P8" t="s">
        <v>36</v>
      </c>
      <c r="Q8" t="s">
        <v>55</v>
      </c>
      <c r="R8" t="s">
        <v>44</v>
      </c>
      <c r="S8" t="s">
        <v>32</v>
      </c>
    </row>
    <row r="9" spans="1:19" x14ac:dyDescent="0.3">
      <c r="A9" t="s">
        <v>731</v>
      </c>
      <c r="B9" t="s">
        <v>732</v>
      </c>
      <c r="C9" t="s">
        <v>733</v>
      </c>
      <c r="D9">
        <v>2025</v>
      </c>
      <c r="E9" t="s">
        <v>78</v>
      </c>
      <c r="F9" t="s">
        <v>78</v>
      </c>
      <c r="G9" t="s">
        <v>32</v>
      </c>
      <c r="H9" t="s">
        <v>989</v>
      </c>
      <c r="I9" t="s">
        <v>350</v>
      </c>
      <c r="J9">
        <f t="shared" si="0"/>
        <v>63</v>
      </c>
      <c r="K9" t="str">
        <f t="shared" si="1"/>
        <v>Out</v>
      </c>
      <c r="L9" t="s">
        <v>837</v>
      </c>
      <c r="M9" t="s">
        <v>90</v>
      </c>
      <c r="N9" t="s">
        <v>990</v>
      </c>
      <c r="O9" t="s">
        <v>23</v>
      </c>
      <c r="P9" t="s">
        <v>36</v>
      </c>
      <c r="Q9" t="s">
        <v>55</v>
      </c>
      <c r="R9" t="s">
        <v>44</v>
      </c>
      <c r="S9" t="s">
        <v>32</v>
      </c>
    </row>
    <row r="10" spans="1:19" x14ac:dyDescent="0.3">
      <c r="A10" t="s">
        <v>556</v>
      </c>
      <c r="B10" t="s">
        <v>557</v>
      </c>
      <c r="C10" t="s">
        <v>558</v>
      </c>
      <c r="D10">
        <v>2025</v>
      </c>
      <c r="E10" t="s">
        <v>95</v>
      </c>
      <c r="F10" t="s">
        <v>78</v>
      </c>
      <c r="G10" t="s">
        <v>44</v>
      </c>
      <c r="H10" t="s">
        <v>991</v>
      </c>
      <c r="I10" t="s">
        <v>992</v>
      </c>
      <c r="J10">
        <f t="shared" si="0"/>
        <v>69</v>
      </c>
      <c r="K10" t="str">
        <f t="shared" si="1"/>
        <v>Not Out</v>
      </c>
      <c r="L10" t="s">
        <v>993</v>
      </c>
      <c r="M10" t="s">
        <v>623</v>
      </c>
      <c r="N10" t="s">
        <v>994</v>
      </c>
      <c r="O10" t="s">
        <v>85</v>
      </c>
      <c r="P10" t="s">
        <v>24</v>
      </c>
      <c r="Q10" t="s">
        <v>32</v>
      </c>
      <c r="R10" t="s">
        <v>55</v>
      </c>
      <c r="S10" t="s">
        <v>32</v>
      </c>
    </row>
    <row r="11" spans="1:19" x14ac:dyDescent="0.3">
      <c r="A11" t="s">
        <v>742</v>
      </c>
      <c r="B11" t="s">
        <v>743</v>
      </c>
      <c r="C11" t="s">
        <v>744</v>
      </c>
      <c r="D11">
        <v>2025</v>
      </c>
      <c r="E11" t="s">
        <v>78</v>
      </c>
      <c r="F11" t="s">
        <v>78</v>
      </c>
      <c r="G11" t="s">
        <v>32</v>
      </c>
      <c r="H11" t="s">
        <v>804</v>
      </c>
      <c r="I11" t="s">
        <v>193</v>
      </c>
      <c r="J11">
        <f t="shared" si="0"/>
        <v>88</v>
      </c>
      <c r="K11" t="str">
        <f t="shared" si="1"/>
        <v>Out</v>
      </c>
      <c r="L11" t="s">
        <v>995</v>
      </c>
      <c r="M11" t="s">
        <v>802</v>
      </c>
      <c r="N11" t="s">
        <v>996</v>
      </c>
      <c r="O11" t="s">
        <v>77</v>
      </c>
      <c r="P11" t="s">
        <v>36</v>
      </c>
      <c r="Q11" t="s">
        <v>32</v>
      </c>
      <c r="R11" t="s">
        <v>55</v>
      </c>
      <c r="S11" t="s">
        <v>32</v>
      </c>
    </row>
    <row r="12" spans="1:19" x14ac:dyDescent="0.3">
      <c r="A12" t="s">
        <v>461</v>
      </c>
      <c r="B12" t="s">
        <v>997</v>
      </c>
      <c r="C12" t="s">
        <v>1027</v>
      </c>
      <c r="D12">
        <v>2025</v>
      </c>
      <c r="E12" t="s">
        <v>78</v>
      </c>
      <c r="F12" t="s">
        <v>78</v>
      </c>
      <c r="G12" t="s">
        <v>32</v>
      </c>
      <c r="H12" t="s">
        <v>61</v>
      </c>
      <c r="I12" t="s">
        <v>73</v>
      </c>
      <c r="J12">
        <f t="shared" si="0"/>
        <v>27</v>
      </c>
      <c r="K12" t="str">
        <f t="shared" si="1"/>
        <v>Out</v>
      </c>
      <c r="L12" t="s">
        <v>998</v>
      </c>
      <c r="M12" t="s">
        <v>350</v>
      </c>
      <c r="N12" t="s">
        <v>186</v>
      </c>
      <c r="O12" t="s">
        <v>108</v>
      </c>
      <c r="P12" t="s">
        <v>44</v>
      </c>
      <c r="Q12" t="s">
        <v>55</v>
      </c>
      <c r="R12" t="s">
        <v>32</v>
      </c>
      <c r="S12" t="s">
        <v>32</v>
      </c>
    </row>
    <row r="13" spans="1:19" x14ac:dyDescent="0.3">
      <c r="A13" t="s">
        <v>413</v>
      </c>
      <c r="B13" t="s">
        <v>999</v>
      </c>
      <c r="C13" t="s">
        <v>1000</v>
      </c>
      <c r="D13">
        <v>2025</v>
      </c>
      <c r="E13" t="s">
        <v>24</v>
      </c>
      <c r="F13" t="s">
        <v>24</v>
      </c>
      <c r="G13" t="s">
        <v>32</v>
      </c>
      <c r="H13" t="s">
        <v>347</v>
      </c>
      <c r="I13" t="s">
        <v>170</v>
      </c>
      <c r="J13">
        <f t="shared" si="0"/>
        <v>37</v>
      </c>
      <c r="K13" t="str">
        <f t="shared" si="1"/>
        <v>Out</v>
      </c>
      <c r="L13" t="s">
        <v>1001</v>
      </c>
      <c r="M13" t="s">
        <v>444</v>
      </c>
      <c r="N13" t="s">
        <v>1002</v>
      </c>
      <c r="O13" t="s">
        <v>78</v>
      </c>
      <c r="P13" t="s">
        <v>95</v>
      </c>
      <c r="Q13" t="s">
        <v>55</v>
      </c>
      <c r="R13" t="s">
        <v>32</v>
      </c>
      <c r="S13" t="s">
        <v>32</v>
      </c>
    </row>
    <row r="14" spans="1:19" x14ac:dyDescent="0.3">
      <c r="A14" t="s">
        <v>628</v>
      </c>
      <c r="B14" t="s">
        <v>1003</v>
      </c>
      <c r="C14" t="s">
        <v>1004</v>
      </c>
      <c r="D14">
        <v>2025</v>
      </c>
      <c r="E14" t="s">
        <v>78</v>
      </c>
      <c r="F14" t="s">
        <v>78</v>
      </c>
      <c r="G14" t="s">
        <v>32</v>
      </c>
      <c r="H14" t="s">
        <v>446</v>
      </c>
      <c r="I14" t="s">
        <v>118</v>
      </c>
      <c r="J14">
        <f t="shared" si="0"/>
        <v>23</v>
      </c>
      <c r="K14" t="str">
        <f t="shared" si="1"/>
        <v>Out</v>
      </c>
      <c r="L14" t="s">
        <v>137</v>
      </c>
      <c r="M14" t="s">
        <v>274</v>
      </c>
      <c r="N14" t="s">
        <v>1005</v>
      </c>
      <c r="O14" t="s">
        <v>95</v>
      </c>
      <c r="P14" t="s">
        <v>55</v>
      </c>
      <c r="Q14" t="s">
        <v>32</v>
      </c>
      <c r="R14" t="s">
        <v>32</v>
      </c>
      <c r="S14" t="s">
        <v>32</v>
      </c>
    </row>
    <row r="15" spans="1:19" x14ac:dyDescent="0.3">
      <c r="A15" t="s">
        <v>227</v>
      </c>
      <c r="B15" t="s">
        <v>228</v>
      </c>
      <c r="C15" t="s">
        <v>229</v>
      </c>
      <c r="D15">
        <v>2025</v>
      </c>
      <c r="E15" t="s">
        <v>108</v>
      </c>
      <c r="F15" t="s">
        <v>36</v>
      </c>
      <c r="G15" t="s">
        <v>32</v>
      </c>
      <c r="H15" t="s">
        <v>727</v>
      </c>
      <c r="I15" t="s">
        <v>48</v>
      </c>
      <c r="J15">
        <f t="shared" si="0"/>
        <v>13</v>
      </c>
      <c r="K15" t="str">
        <f t="shared" si="1"/>
        <v>Out</v>
      </c>
      <c r="L15" t="s">
        <v>1006</v>
      </c>
      <c r="M15" t="s">
        <v>214</v>
      </c>
      <c r="N15" t="s">
        <v>587</v>
      </c>
      <c r="O15" t="s">
        <v>24</v>
      </c>
      <c r="P15" t="s">
        <v>55</v>
      </c>
      <c r="Q15" t="s">
        <v>32</v>
      </c>
      <c r="R15" t="s">
        <v>32</v>
      </c>
      <c r="S15" t="s">
        <v>32</v>
      </c>
    </row>
    <row r="16" spans="1:19" x14ac:dyDescent="0.3">
      <c r="A16" t="s">
        <v>111</v>
      </c>
      <c r="B16" t="s">
        <v>1007</v>
      </c>
      <c r="C16" t="s">
        <v>1008</v>
      </c>
      <c r="D16">
        <v>2025</v>
      </c>
      <c r="E16" t="s">
        <v>143</v>
      </c>
      <c r="F16" t="s">
        <v>78</v>
      </c>
      <c r="G16" t="s">
        <v>32</v>
      </c>
      <c r="H16" t="s">
        <v>207</v>
      </c>
      <c r="I16" t="s">
        <v>164</v>
      </c>
      <c r="J16">
        <f t="shared" si="0"/>
        <v>22</v>
      </c>
      <c r="K16" t="str">
        <f t="shared" si="1"/>
        <v>Out</v>
      </c>
      <c r="L16" t="s">
        <v>1009</v>
      </c>
      <c r="M16" t="s">
        <v>260</v>
      </c>
      <c r="N16" t="s">
        <v>1010</v>
      </c>
      <c r="O16" t="s">
        <v>44</v>
      </c>
      <c r="P16" t="s">
        <v>55</v>
      </c>
      <c r="Q16" t="s">
        <v>55</v>
      </c>
      <c r="R16" t="s">
        <v>32</v>
      </c>
      <c r="S16" t="s">
        <v>32</v>
      </c>
    </row>
    <row r="17" spans="1:19" x14ac:dyDescent="0.3">
      <c r="A17" t="s">
        <v>524</v>
      </c>
      <c r="B17" t="s">
        <v>1011</v>
      </c>
      <c r="C17" t="s">
        <v>1012</v>
      </c>
      <c r="D17">
        <v>2025</v>
      </c>
      <c r="E17" t="s">
        <v>24</v>
      </c>
      <c r="F17" t="s">
        <v>44</v>
      </c>
      <c r="G17" t="s">
        <v>44</v>
      </c>
      <c r="H17" t="s">
        <v>43</v>
      </c>
      <c r="I17" t="s">
        <v>282</v>
      </c>
      <c r="J17">
        <f t="shared" si="0"/>
        <v>11</v>
      </c>
      <c r="K17" t="str">
        <f t="shared" si="1"/>
        <v>Not Out</v>
      </c>
      <c r="L17" t="s">
        <v>157</v>
      </c>
      <c r="M17" t="s">
        <v>143</v>
      </c>
      <c r="N17" t="s">
        <v>1013</v>
      </c>
      <c r="O17" t="s">
        <v>55</v>
      </c>
      <c r="P17" t="s">
        <v>55</v>
      </c>
      <c r="Q17" t="s">
        <v>32</v>
      </c>
      <c r="R17" t="s">
        <v>32</v>
      </c>
      <c r="S17" t="s">
        <v>32</v>
      </c>
    </row>
    <row r="18" spans="1:19" x14ac:dyDescent="0.3">
      <c r="A18" t="s">
        <v>1014</v>
      </c>
      <c r="B18" t="s">
        <v>1015</v>
      </c>
      <c r="C18" t="s">
        <v>1016</v>
      </c>
      <c r="D18">
        <v>2025</v>
      </c>
      <c r="E18" t="s">
        <v>85</v>
      </c>
      <c r="F18" t="s">
        <v>78</v>
      </c>
      <c r="G18" t="s">
        <v>24</v>
      </c>
      <c r="H18" t="s">
        <v>23</v>
      </c>
      <c r="I18" t="s">
        <v>360</v>
      </c>
      <c r="J18">
        <f t="shared" si="0"/>
        <v>5</v>
      </c>
      <c r="K18" t="str">
        <f t="shared" si="1"/>
        <v>Not Out</v>
      </c>
      <c r="L18" t="s">
        <v>475</v>
      </c>
      <c r="M18" t="s">
        <v>104</v>
      </c>
      <c r="N18" t="s">
        <v>760</v>
      </c>
      <c r="O18" t="s">
        <v>44</v>
      </c>
      <c r="P18" t="s">
        <v>32</v>
      </c>
      <c r="Q18" t="s">
        <v>55</v>
      </c>
      <c r="R18" t="s">
        <v>32</v>
      </c>
      <c r="S18" t="s">
        <v>32</v>
      </c>
    </row>
    <row r="19" spans="1:19" x14ac:dyDescent="0.3">
      <c r="A19" t="s">
        <v>1017</v>
      </c>
      <c r="B19" t="s">
        <v>1018</v>
      </c>
      <c r="C19" t="s">
        <v>1019</v>
      </c>
      <c r="D19">
        <v>2025</v>
      </c>
      <c r="E19" t="s">
        <v>23</v>
      </c>
      <c r="F19" t="s">
        <v>95</v>
      </c>
      <c r="G19" t="s">
        <v>44</v>
      </c>
      <c r="H19" t="s">
        <v>143</v>
      </c>
      <c r="I19" t="s">
        <v>233</v>
      </c>
      <c r="J19">
        <f t="shared" si="0"/>
        <v>2</v>
      </c>
      <c r="K19" t="str">
        <f t="shared" si="1"/>
        <v>Not Out</v>
      </c>
      <c r="L19" t="s">
        <v>1020</v>
      </c>
      <c r="M19" t="s">
        <v>297</v>
      </c>
      <c r="N19" t="s">
        <v>1021</v>
      </c>
      <c r="O19" t="s">
        <v>32</v>
      </c>
      <c r="P19" t="s">
        <v>32</v>
      </c>
      <c r="Q19" t="s">
        <v>55</v>
      </c>
      <c r="R19" t="s">
        <v>32</v>
      </c>
      <c r="S19" t="s">
        <v>32</v>
      </c>
    </row>
    <row r="20" spans="1:19" x14ac:dyDescent="0.3">
      <c r="A20" t="s">
        <v>394</v>
      </c>
      <c r="B20" t="s">
        <v>1022</v>
      </c>
      <c r="C20" t="s">
        <v>1023</v>
      </c>
      <c r="D20">
        <v>2025</v>
      </c>
      <c r="E20" t="s">
        <v>23</v>
      </c>
      <c r="F20" t="s">
        <v>44</v>
      </c>
      <c r="G20" t="s">
        <v>44</v>
      </c>
      <c r="H20" t="s">
        <v>55</v>
      </c>
      <c r="I20" t="s">
        <v>239</v>
      </c>
      <c r="J20">
        <f t="shared" si="0"/>
        <v>1</v>
      </c>
      <c r="K20" t="str">
        <f t="shared" si="1"/>
        <v>Not Out</v>
      </c>
      <c r="L20" t="s">
        <v>157</v>
      </c>
      <c r="M20" t="s">
        <v>44</v>
      </c>
      <c r="N20" t="s">
        <v>306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</row>
    <row r="21" spans="1:19" x14ac:dyDescent="0.3">
      <c r="A21" t="s">
        <v>804</v>
      </c>
      <c r="B21" t="s">
        <v>1024</v>
      </c>
      <c r="C21" t="s">
        <v>1026</v>
      </c>
      <c r="D21">
        <v>2025</v>
      </c>
      <c r="E21" t="s">
        <v>55</v>
      </c>
      <c r="F21" t="s">
        <v>157</v>
      </c>
      <c r="G21" t="s">
        <v>157</v>
      </c>
      <c r="H21" t="s">
        <v>157</v>
      </c>
      <c r="I21" t="s">
        <v>157</v>
      </c>
      <c r="J21" t="str">
        <f t="shared" si="0"/>
        <v>-</v>
      </c>
      <c r="K21" t="str">
        <f t="shared" si="1"/>
        <v>-</v>
      </c>
      <c r="L21" t="s">
        <v>157</v>
      </c>
      <c r="M21" t="s">
        <v>157</v>
      </c>
      <c r="N21" t="s">
        <v>157</v>
      </c>
      <c r="O21" t="s">
        <v>157</v>
      </c>
      <c r="P21" t="s">
        <v>157</v>
      </c>
      <c r="Q21" t="s">
        <v>157</v>
      </c>
      <c r="R21" t="s">
        <v>157</v>
      </c>
      <c r="S21" t="s">
        <v>157</v>
      </c>
    </row>
    <row r="22" spans="1:19" x14ac:dyDescent="0.3">
      <c r="A22" t="s">
        <v>866</v>
      </c>
      <c r="B22" t="s">
        <v>867</v>
      </c>
      <c r="C22" t="s">
        <v>867</v>
      </c>
      <c r="D22">
        <v>2025</v>
      </c>
      <c r="E22" t="s">
        <v>44</v>
      </c>
      <c r="F22" t="s">
        <v>157</v>
      </c>
      <c r="G22" t="s">
        <v>157</v>
      </c>
      <c r="H22" t="s">
        <v>157</v>
      </c>
      <c r="I22" t="s">
        <v>157</v>
      </c>
      <c r="J22" t="str">
        <f t="shared" si="0"/>
        <v>-</v>
      </c>
      <c r="K22" t="str">
        <f t="shared" si="1"/>
        <v>-</v>
      </c>
      <c r="L22" t="s">
        <v>157</v>
      </c>
      <c r="M22" t="s">
        <v>157</v>
      </c>
      <c r="N22" t="s">
        <v>157</v>
      </c>
      <c r="O22" t="s">
        <v>157</v>
      </c>
      <c r="P22" t="s">
        <v>157</v>
      </c>
      <c r="Q22" t="s">
        <v>157</v>
      </c>
      <c r="R22" t="s">
        <v>157</v>
      </c>
      <c r="S22" t="s">
        <v>157</v>
      </c>
    </row>
    <row r="23" spans="1:19" x14ac:dyDescent="0.3">
      <c r="A23" t="s">
        <v>873</v>
      </c>
      <c r="B23" t="s">
        <v>874</v>
      </c>
      <c r="C23" t="s">
        <v>875</v>
      </c>
      <c r="D23">
        <v>2025</v>
      </c>
      <c r="E23" t="s">
        <v>104</v>
      </c>
      <c r="F23" t="s">
        <v>157</v>
      </c>
      <c r="G23" t="s">
        <v>157</v>
      </c>
      <c r="H23" t="s">
        <v>157</v>
      </c>
      <c r="I23" t="s">
        <v>157</v>
      </c>
      <c r="J23" t="str">
        <f t="shared" si="0"/>
        <v>-</v>
      </c>
      <c r="K23" t="str">
        <f t="shared" si="1"/>
        <v>-</v>
      </c>
      <c r="L23" t="s">
        <v>157</v>
      </c>
      <c r="M23" t="s">
        <v>157</v>
      </c>
      <c r="N23" t="s">
        <v>157</v>
      </c>
      <c r="O23" t="s">
        <v>157</v>
      </c>
      <c r="P23" t="s">
        <v>157</v>
      </c>
      <c r="Q23" t="s">
        <v>157</v>
      </c>
      <c r="R23" t="s">
        <v>157</v>
      </c>
      <c r="S23" t="s">
        <v>157</v>
      </c>
    </row>
  </sheetData>
  <pageMargins left="0.75" right="0.75" top="1" bottom="1" header="0.5" footer="0.5"/>
  <ignoredErrors>
    <ignoredError sqref="A2:S3 A22:S23 A21:B21 D21:S21 A13:S20 A12:B12 D12:S12 A5:S11 A4:B4 D4: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Season_2008</vt:lpstr>
      <vt:lpstr>Season_2009</vt:lpstr>
      <vt:lpstr>Season_2010</vt:lpstr>
      <vt:lpstr>Season_2011</vt:lpstr>
      <vt:lpstr>Season_2012</vt:lpstr>
      <vt:lpstr>Season_2013</vt:lpstr>
      <vt:lpstr>Season_2014</vt:lpstr>
      <vt:lpstr>Season_2015</vt:lpstr>
      <vt:lpstr>Season_2018</vt:lpstr>
      <vt:lpstr>Season_2019</vt:lpstr>
      <vt:lpstr>Season_2020</vt:lpstr>
      <vt:lpstr>Season_2021</vt:lpstr>
      <vt:lpstr>Season_2022</vt:lpstr>
      <vt:lpstr>Season_2023</vt:lpstr>
      <vt:lpstr>Season_2024</vt:lpstr>
      <vt:lpstr>Season_2025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UTHAYANITHI U</cp:lastModifiedBy>
  <dcterms:created xsi:type="dcterms:W3CDTF">2025-11-03T17:57:34Z</dcterms:created>
  <dcterms:modified xsi:type="dcterms:W3CDTF">2025-11-04T11:33:24Z</dcterms:modified>
</cp:coreProperties>
</file>